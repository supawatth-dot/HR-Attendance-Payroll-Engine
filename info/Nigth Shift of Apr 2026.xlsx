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R\"/>
    </mc:Choice>
  </mc:AlternateContent>
  <xr:revisionPtr revIDLastSave="0" documentId="13_ncr:1_{46A82099-CB87-4A3A-98DB-C09D1DC670BF}" xr6:coauthVersionLast="47" xr6:coauthVersionMax="47" xr10:uidLastSave="{00000000-0000-0000-0000-000000000000}"/>
  <bookViews>
    <workbookView xWindow="57480" yWindow="-120" windowWidth="29040" windowHeight="15720" xr2:uid="{498A01A3-104C-46A9-A831-DC92E9EFF792}"/>
  </bookViews>
  <sheets>
    <sheet name="Apr" sheetId="1" r:id="rId1"/>
  </sheets>
  <calcPr calcId="191029" calcOnSave="0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1" l="1"/>
  <c r="B89" i="1"/>
  <c r="B90" i="1" s="1"/>
  <c r="B91" i="1" s="1"/>
  <c r="B92" i="1" s="1"/>
  <c r="B93" i="1" s="1"/>
  <c r="B95" i="1"/>
  <c r="B96" i="1"/>
  <c r="B98" i="1"/>
  <c r="B99" i="1"/>
  <c r="B100" i="1"/>
  <c r="B101" i="1"/>
  <c r="B25" i="1"/>
  <c r="B26" i="1" s="1"/>
  <c r="B27" i="1" s="1"/>
  <c r="B28" i="1" s="1"/>
  <c r="B29" i="1" s="1"/>
  <c r="B30" i="1" s="1"/>
  <c r="B31" i="1" s="1"/>
  <c r="B33" i="1"/>
  <c r="B34" i="1" s="1"/>
  <c r="B35" i="1" s="1"/>
  <c r="B36" i="1" s="1"/>
  <c r="B37" i="1" s="1"/>
  <c r="B38" i="1" s="1"/>
  <c r="B39" i="1" s="1"/>
  <c r="B41" i="1"/>
  <c r="B42" i="1" s="1"/>
  <c r="B43" i="1" s="1"/>
  <c r="B44" i="1" s="1"/>
  <c r="B45" i="1" s="1"/>
  <c r="B46" i="1" s="1"/>
  <c r="B47" i="1" s="1"/>
  <c r="B49" i="1"/>
  <c r="B50" i="1" s="1"/>
  <c r="B51" i="1" s="1"/>
  <c r="B53" i="1"/>
  <c r="B54" i="1"/>
  <c r="B55" i="1"/>
  <c r="B56" i="1" s="1"/>
  <c r="B57" i="1" s="1"/>
  <c r="B58" i="1" s="1"/>
  <c r="B59" i="1" s="1"/>
  <c r="H39" i="1"/>
  <c r="H96" i="1"/>
  <c r="H51" i="1"/>
  <c r="H47" i="1"/>
  <c r="H23" i="1"/>
  <c r="H15" i="1"/>
  <c r="H101" i="1"/>
  <c r="H93" i="1"/>
  <c r="H102" i="1" s="1"/>
  <c r="H182" i="1" l="1"/>
  <c r="H183" i="1" s="1"/>
  <c r="H59" i="1"/>
  <c r="H31" i="1"/>
  <c r="H60" i="1" l="1"/>
</calcChain>
</file>

<file path=xl/sharedStrings.xml><?xml version="1.0" encoding="utf-8"?>
<sst xmlns="http://schemas.openxmlformats.org/spreadsheetml/2006/main" count="346" uniqueCount="58">
  <si>
    <t>HERRENKNECHT (ASIA) LTD.</t>
  </si>
  <si>
    <t>Night Shift Requisition Form</t>
  </si>
  <si>
    <t>Jobs</t>
  </si>
  <si>
    <t>:</t>
  </si>
  <si>
    <t>DEPT</t>
  </si>
  <si>
    <t>Workshop</t>
  </si>
  <si>
    <t>Section:</t>
  </si>
  <si>
    <t>Period working:</t>
  </si>
  <si>
    <t>DATE</t>
  </si>
  <si>
    <t>Emp.ID</t>
  </si>
  <si>
    <t>Name - Surname</t>
  </si>
  <si>
    <t>IN</t>
  </si>
  <si>
    <t>OUT</t>
  </si>
  <si>
    <t>HRS WORKED</t>
  </si>
  <si>
    <t>Shift Fee (Baht)</t>
  </si>
  <si>
    <t>Total (Baht)</t>
  </si>
  <si>
    <t>COST CENTER</t>
  </si>
  <si>
    <t>REMARKS</t>
  </si>
  <si>
    <t>03.30</t>
  </si>
  <si>
    <t>03.00</t>
  </si>
  <si>
    <t>01.00</t>
  </si>
  <si>
    <t>00.30</t>
  </si>
  <si>
    <t>04.30</t>
  </si>
  <si>
    <t>Total :</t>
  </si>
  <si>
    <t>Requested by :</t>
  </si>
  <si>
    <t xml:space="preserve">Verify by Supervisor </t>
  </si>
  <si>
    <t>Approved by Manager</t>
  </si>
  <si>
    <t>Signature:</t>
  </si>
  <si>
    <t>Name:</t>
  </si>
  <si>
    <t xml:space="preserve">Requested </t>
  </si>
  <si>
    <t>by :</t>
  </si>
  <si>
    <t>04.00</t>
  </si>
  <si>
    <t>05.00</t>
  </si>
  <si>
    <t>16 - 31 Mar 2026</t>
  </si>
  <si>
    <t>21119</t>
  </si>
  <si>
    <t>Sgt.Chuanchid Ladpho</t>
  </si>
  <si>
    <t>19304</t>
  </si>
  <si>
    <t>Pramote Burikhan</t>
  </si>
  <si>
    <t>17552</t>
  </si>
  <si>
    <t>Pasakorn Kamalo</t>
  </si>
  <si>
    <t>17417</t>
  </si>
  <si>
    <t>Kritsada Bunkhaw</t>
  </si>
  <si>
    <t>17414</t>
  </si>
  <si>
    <t>Satawat Phaengkot</t>
  </si>
  <si>
    <t>15550</t>
  </si>
  <si>
    <t>Somboon Peangpan</t>
  </si>
  <si>
    <t>15544</t>
  </si>
  <si>
    <t>Aphirak Pradapsri</t>
  </si>
  <si>
    <t>15054</t>
  </si>
  <si>
    <t>Saksit Phonthip</t>
  </si>
  <si>
    <t>12630</t>
  </si>
  <si>
    <t>Mathee Sawat</t>
  </si>
  <si>
    <t>01.30</t>
  </si>
  <si>
    <t>1-9 Apr 2026</t>
  </si>
  <si>
    <t>1 - 9 Apr 2026</t>
  </si>
  <si>
    <t>Weerachat Yukhruea</t>
  </si>
  <si>
    <t>IN (PM)</t>
  </si>
  <si>
    <t>OUT(AM)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</si>
</sst>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h:mm;@"/>
    <numFmt numFmtId="165" formatCode="mmmm\-yy"/>
    <numFmt numFmtId="166" formatCode="m/d/yy;@"/>
    <numFmt numFmtId="167" formatCode="[$THB]\ #,##0.00"/>
    <numFmt numFmtId="168" formatCode="mm/dd/yy;@"/>
  </numFmts>
  <fonts count="1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i/>
      <u/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8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horizontal="left" vertical="center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164" fontId="1" fillId="0" borderId="1" xfId="1" applyNumberFormat="1" applyBorder="1" applyAlignment="1">
      <alignment horizontal="center" vertical="center"/>
    </xf>
    <xf numFmtId="0" fontId="4" fillId="0" borderId="0" xfId="1" applyFont="1" applyAlignment="1">
      <alignment horizontal="right" vertical="center"/>
    </xf>
    <xf numFmtId="165" fontId="4" fillId="0" borderId="1" xfId="1" applyNumberFormat="1" applyFont="1" applyBorder="1" applyAlignment="1">
      <alignment vertical="center"/>
    </xf>
    <xf numFmtId="0" fontId="1" fillId="0" borderId="0" xfId="1" applyAlignment="1">
      <alignment horizontal="right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 wrapText="1"/>
    </xf>
    <xf numFmtId="0" fontId="1" fillId="0" borderId="11" xfId="1" applyBorder="1" applyAlignment="1">
      <alignment horizontal="center" vertical="center"/>
    </xf>
    <xf numFmtId="0" fontId="1" fillId="0" borderId="12" xfId="1" quotePrefix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2" fontId="1" fillId="0" borderId="14" xfId="1" applyNumberFormat="1" applyBorder="1" applyAlignment="1">
      <alignment vertical="center"/>
    </xf>
    <xf numFmtId="164" fontId="1" fillId="4" borderId="11" xfId="1" quotePrefix="1" applyNumberFormat="1" applyFill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2" fontId="4" fillId="0" borderId="14" xfId="1" applyNumberFormat="1" applyFont="1" applyBorder="1" applyAlignment="1">
      <alignment vertical="center"/>
    </xf>
    <xf numFmtId="0" fontId="1" fillId="0" borderId="16" xfId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2" fontId="4" fillId="0" borderId="18" xfId="1" applyNumberFormat="1" applyFont="1" applyBorder="1" applyAlignment="1">
      <alignment vertical="center"/>
    </xf>
    <xf numFmtId="0" fontId="1" fillId="0" borderId="8" xfId="1" applyBorder="1" applyAlignment="1">
      <alignment horizontal="center" vertical="center"/>
    </xf>
    <xf numFmtId="2" fontId="6" fillId="0" borderId="14" xfId="1" applyNumberFormat="1" applyFont="1" applyBorder="1" applyAlignment="1">
      <alignment vertical="center"/>
    </xf>
    <xf numFmtId="0" fontId="4" fillId="4" borderId="0" xfId="1" applyFont="1" applyFill="1" applyAlignment="1">
      <alignment horizontal="center" vertical="center"/>
    </xf>
    <xf numFmtId="2" fontId="6" fillId="0" borderId="0" xfId="1" applyNumberFormat="1" applyFont="1" applyAlignment="1">
      <alignment vertical="center"/>
    </xf>
    <xf numFmtId="0" fontId="1" fillId="0" borderId="0" xfId="1" applyAlignment="1">
      <alignment horizontal="left" vertical="center"/>
    </xf>
    <xf numFmtId="164" fontId="4" fillId="0" borderId="0" xfId="1" applyNumberFormat="1" applyFont="1" applyAlignment="1">
      <alignment horizontal="left" vertical="center"/>
    </xf>
    <xf numFmtId="0" fontId="9" fillId="0" borderId="0" xfId="1" applyFont="1" applyAlignment="1">
      <alignment vertical="center"/>
    </xf>
    <xf numFmtId="168" fontId="1" fillId="0" borderId="0" xfId="1" applyNumberFormat="1" applyAlignment="1">
      <alignment vertical="center"/>
    </xf>
    <xf numFmtId="168" fontId="4" fillId="0" borderId="0" xfId="1" applyNumberFormat="1" applyFont="1" applyAlignment="1">
      <alignment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164" fontId="4" fillId="2" borderId="21" xfId="1" applyNumberFormat="1" applyFont="1" applyFill="1" applyBorder="1" applyAlignment="1">
      <alignment horizontal="center" vertical="center"/>
    </xf>
    <xf numFmtId="0" fontId="4" fillId="3" borderId="22" xfId="1" applyFont="1" applyFill="1" applyBorder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2" fontId="1" fillId="0" borderId="10" xfId="1" applyNumberFormat="1" applyBorder="1" applyAlignment="1">
      <alignment vertical="center"/>
    </xf>
    <xf numFmtId="14" fontId="0" fillId="0" borderId="0" xfId="0" applyNumberFormat="1" applyAlignment="1">
      <alignment horizontal="right" vertical="top"/>
    </xf>
    <xf numFmtId="0" fontId="4" fillId="5" borderId="17" xfId="1" applyFont="1" applyFill="1" applyBorder="1" applyAlignment="1">
      <alignment horizontal="center" vertical="center"/>
    </xf>
    <xf numFmtId="167" fontId="4" fillId="0" borderId="24" xfId="1" applyNumberFormat="1" applyFont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4" fillId="4" borderId="6" xfId="1" applyFont="1" applyFill="1" applyBorder="1" applyAlignment="1">
      <alignment horizontal="center" vertical="center"/>
    </xf>
    <xf numFmtId="0" fontId="5" fillId="4" borderId="11" xfId="1" applyFont="1" applyFill="1" applyBorder="1" applyAlignment="1">
      <alignment horizontal="left" vertical="center"/>
    </xf>
    <xf numFmtId="0" fontId="5" fillId="4" borderId="11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1" fillId="4" borderId="11" xfId="1" applyFill="1" applyBorder="1" applyAlignment="1">
      <alignment horizontal="left" vertical="center"/>
    </xf>
    <xf numFmtId="0" fontId="4" fillId="4" borderId="19" xfId="1" applyFont="1" applyFill="1" applyBorder="1" applyAlignment="1">
      <alignment horizontal="center" vertical="center"/>
    </xf>
    <xf numFmtId="0" fontId="1" fillId="4" borderId="16" xfId="1" applyFill="1" applyBorder="1" applyAlignment="1">
      <alignment horizontal="left" vertical="center"/>
    </xf>
    <xf numFmtId="0" fontId="1" fillId="4" borderId="16" xfId="1" applyFill="1" applyBorder="1" applyAlignment="1">
      <alignment horizontal="center" vertical="center"/>
    </xf>
    <xf numFmtId="166" fontId="12" fillId="0" borderId="0" xfId="1" applyNumberFormat="1" applyFont="1" applyAlignment="1">
      <alignment vertical="center"/>
    </xf>
    <xf numFmtId="166" fontId="13" fillId="0" borderId="0" xfId="1" applyNumberFormat="1" applyFont="1" applyAlignment="1">
      <alignment horizontal="left" vertical="center"/>
    </xf>
    <xf numFmtId="166" fontId="12" fillId="0" borderId="0" xfId="1" applyNumberFormat="1" applyFont="1" applyAlignment="1">
      <alignment horizontal="center" vertical="center"/>
    </xf>
    <xf numFmtId="166" fontId="13" fillId="2" borderId="2" xfId="1" applyNumberFormat="1" applyFont="1" applyFill="1" applyBorder="1" applyAlignment="1">
      <alignment horizontal="center" vertical="center"/>
    </xf>
    <xf numFmtId="166" fontId="12" fillId="0" borderId="26" xfId="1" applyNumberFormat="1" applyFont="1" applyBorder="1" applyAlignment="1">
      <alignment horizontal="center" vertical="center"/>
    </xf>
    <xf numFmtId="166" fontId="12" fillId="0" borderId="25" xfId="1" applyNumberFormat="1" applyFont="1" applyBorder="1" applyAlignment="1">
      <alignment horizontal="center" vertical="center"/>
    </xf>
    <xf numFmtId="166" fontId="12" fillId="0" borderId="27" xfId="1" applyNumberFormat="1" applyFont="1" applyBorder="1" applyAlignment="1">
      <alignment horizontal="center" vertical="center"/>
    </xf>
    <xf numFmtId="166" fontId="12" fillId="0" borderId="0" xfId="1" applyNumberFormat="1" applyFont="1" applyAlignment="1">
      <alignment horizontal="left" vertical="center"/>
    </xf>
    <xf numFmtId="166" fontId="13" fillId="2" borderId="2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vertical="center"/>
    </xf>
    <xf numFmtId="0" fontId="8" fillId="0" borderId="0" xfId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164" fontId="1" fillId="0" borderId="0" xfId="1" applyNumberFormat="1" applyAlignment="1">
      <alignment horizontal="left" vertical="center"/>
    </xf>
    <xf numFmtId="167" fontId="1" fillId="0" borderId="0" xfId="1" applyNumberFormat="1" applyAlignment="1">
      <alignment horizontal="left" vertical="center"/>
    </xf>
    <xf numFmtId="166" fontId="1" fillId="0" borderId="0" xfId="1" applyNumberFormat="1" applyAlignment="1">
      <alignment horizontal="left" vertical="center"/>
    </xf>
    <xf numFmtId="0" fontId="1" fillId="5" borderId="8" xfId="1" applyFill="1" applyBorder="1" applyAlignment="1">
      <alignment horizontal="left" vertical="center"/>
    </xf>
    <xf numFmtId="0" fontId="4" fillId="5" borderId="7" xfId="1" applyFont="1" applyFill="1" applyBorder="1" applyAlignment="1">
      <alignment horizontal="center" vertical="center"/>
    </xf>
    <xf numFmtId="166" fontId="12" fillId="0" borderId="28" xfId="1" applyNumberFormat="1" applyFont="1" applyBorder="1" applyAlignment="1">
      <alignment horizontal="center" vertical="center"/>
    </xf>
    <xf numFmtId="168" fontId="1" fillId="0" borderId="0" xfId="1" quotePrefix="1" applyNumberFormat="1" applyAlignment="1">
      <alignment vertical="center"/>
    </xf>
    <xf numFmtId="0" fontId="1" fillId="0" borderId="0" xfId="1" quotePrefix="1" applyAlignment="1">
      <alignment vertical="center"/>
    </xf>
    <xf numFmtId="164" fontId="1" fillId="4" borderId="16" xfId="1" quotePrefix="1" applyNumberForma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14" fontId="15" fillId="0" borderId="12" xfId="0" applyNumberFormat="1" applyFont="1" applyBorder="1" applyAlignment="1">
      <alignment horizontal="center" vertical="top"/>
    </xf>
    <xf numFmtId="14" fontId="15" fillId="0" borderId="11" xfId="0" applyNumberFormat="1" applyFont="1" applyBorder="1" applyAlignment="1">
      <alignment horizontal="center" vertical="top"/>
    </xf>
    <xf numFmtId="0" fontId="2" fillId="0" borderId="0" xfId="1" applyFont="1" applyAlignment="1">
      <alignment horizontal="center" vertical="center"/>
    </xf>
    <xf numFmtId="20" fontId="1" fillId="0" borderId="12" xfId="1" applyNumberFormat="1" applyBorder="1" applyAlignment="1">
      <alignment horizontal="center" vertical="center"/>
    </xf>
    <xf numFmtId="20" fontId="1" fillId="0" borderId="11" xfId="1" applyNumberFormat="1" applyBorder="1" applyAlignment="1">
      <alignment horizontal="center" vertical="center"/>
    </xf>
    <xf numFmtId="14" fontId="0" fillId="0" borderId="0" xfId="0" quotePrefix="1" applyNumberFormat="1" applyAlignment="1">
      <alignment horizontal="right" vertical="top"/>
    </xf>
    <xf numFmtId="14" fontId="15" fillId="0" borderId="16" xfId="0" applyNumberFormat="1" applyFont="1" applyBorder="1" applyAlignment="1">
      <alignment horizontal="center" vertical="top"/>
    </xf>
    <xf numFmtId="164" fontId="1" fillId="4" borderId="12" xfId="1" quotePrefix="1" applyNumberFormat="1" applyFill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2" fontId="1" fillId="0" borderId="32" xfId="1" applyNumberFormat="1" applyBorder="1" applyAlignment="1">
      <alignment vertical="center"/>
    </xf>
    <xf numFmtId="0" fontId="5" fillId="4" borderId="16" xfId="1" applyFont="1" applyFill="1" applyBorder="1" applyAlignment="1">
      <alignment horizontal="left" vertical="center"/>
    </xf>
    <xf numFmtId="0" fontId="1" fillId="0" borderId="17" xfId="1" applyBorder="1" applyAlignment="1">
      <alignment horizontal="center" vertical="center"/>
    </xf>
    <xf numFmtId="2" fontId="1" fillId="0" borderId="18" xfId="1" applyNumberFormat="1" applyBorder="1" applyAlignment="1">
      <alignment vertical="center"/>
    </xf>
    <xf numFmtId="0" fontId="4" fillId="5" borderId="6" xfId="1" applyFont="1" applyFill="1" applyBorder="1" applyAlignment="1">
      <alignment horizontal="center" vertical="center"/>
    </xf>
    <xf numFmtId="0" fontId="5" fillId="5" borderId="12" xfId="1" applyFont="1" applyFill="1" applyBorder="1" applyAlignment="1">
      <alignment horizontal="left" vertical="center"/>
    </xf>
    <xf numFmtId="0" fontId="1" fillId="0" borderId="11" xfId="1" quotePrefix="1" applyBorder="1" applyAlignment="1">
      <alignment horizontal="center" vertical="center"/>
    </xf>
    <xf numFmtId="0" fontId="4" fillId="4" borderId="33" xfId="1" applyFont="1" applyFill="1" applyBorder="1" applyAlignment="1">
      <alignment horizontal="center" vertical="center"/>
    </xf>
    <xf numFmtId="0" fontId="1" fillId="0" borderId="34" xfId="1" quotePrefix="1" applyBorder="1" applyAlignment="1">
      <alignment horizontal="center" vertical="center"/>
    </xf>
    <xf numFmtId="0" fontId="1" fillId="4" borderId="12" xfId="1" applyFill="1" applyBorder="1" applyAlignment="1">
      <alignment horizontal="left" vertical="center"/>
    </xf>
    <xf numFmtId="0" fontId="1" fillId="5" borderId="12" xfId="1" applyFill="1" applyBorder="1" applyAlignment="1">
      <alignment horizontal="left" vertical="center"/>
    </xf>
    <xf numFmtId="0" fontId="4" fillId="0" borderId="31" xfId="1" applyFont="1" applyBorder="1" applyAlignment="1">
      <alignment horizontal="center" vertical="center"/>
    </xf>
    <xf numFmtId="2" fontId="7" fillId="0" borderId="32" xfId="1" applyNumberFormat="1" applyFont="1" applyBorder="1" applyAlignment="1">
      <alignment vertical="center"/>
    </xf>
    <xf numFmtId="0" fontId="4" fillId="4" borderId="6" xfId="1" quotePrefix="1" applyFont="1" applyFill="1" applyBorder="1" applyAlignment="1">
      <alignment horizontal="center" vertical="center"/>
    </xf>
    <xf numFmtId="166" fontId="12" fillId="0" borderId="35" xfId="1" applyNumberFormat="1" applyFont="1" applyBorder="1" applyAlignment="1">
      <alignment horizontal="center" vertical="center"/>
    </xf>
    <xf numFmtId="164" fontId="1" fillId="4" borderId="30" xfId="1" quotePrefix="1" applyNumberFormat="1" applyFill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4" fillId="4" borderId="31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1" fillId="4" borderId="12" xfId="1" applyFill="1" applyBorder="1" applyAlignment="1">
      <alignment horizontal="center" vertical="center"/>
    </xf>
    <xf numFmtId="14" fontId="15" fillId="4" borderId="11" xfId="0" applyNumberFormat="1" applyFont="1" applyFill="1" applyBorder="1" applyAlignment="1">
      <alignment horizontal="center" vertical="top"/>
    </xf>
    <xf numFmtId="14" fontId="15" fillId="4" borderId="12" xfId="0" applyNumberFormat="1" applyFont="1" applyFill="1" applyBorder="1" applyAlignment="1">
      <alignment horizontal="center" vertical="top"/>
    </xf>
    <xf numFmtId="0" fontId="1" fillId="4" borderId="31" xfId="1" applyFill="1" applyBorder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2" fontId="4" fillId="0" borderId="37" xfId="1" applyNumberFormat="1" applyFont="1" applyBorder="1" applyAlignment="1">
      <alignment vertical="center"/>
    </xf>
    <xf numFmtId="0" fontId="4" fillId="4" borderId="36" xfId="1" applyFont="1" applyFill="1" applyBorder="1" applyAlignment="1">
      <alignment horizontal="center" vertical="center"/>
    </xf>
    <xf numFmtId="0" fontId="1" fillId="4" borderId="13" xfId="1" applyFill="1" applyBorder="1" applyAlignment="1">
      <alignment horizontal="center" vertical="center"/>
    </xf>
    <xf numFmtId="0" fontId="4" fillId="5" borderId="23" xfId="1" applyFont="1" applyFill="1" applyBorder="1" applyAlignment="1">
      <alignment horizontal="center" vertical="center"/>
    </xf>
    <xf numFmtId="0" fontId="1" fillId="5" borderId="30" xfId="1" applyFill="1" applyBorder="1" applyAlignment="1">
      <alignment horizontal="left" vertical="center"/>
    </xf>
    <xf numFmtId="0" fontId="4" fillId="5" borderId="16" xfId="1" applyFont="1" applyFill="1" applyBorder="1" applyAlignment="1">
      <alignment horizontal="center" vertical="center"/>
    </xf>
    <xf numFmtId="164" fontId="1" fillId="4" borderId="8" xfId="1" quotePrefix="1" applyNumberFormat="1" applyFill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164" fontId="1" fillId="4" borderId="7" xfId="1" quotePrefix="1" applyNumberFormat="1" applyFill="1" applyBorder="1" applyAlignment="1">
      <alignment horizontal="center" vertical="center"/>
    </xf>
    <xf numFmtId="164" fontId="1" fillId="4" borderId="15" xfId="1" quotePrefix="1" applyNumberFormat="1" applyFill="1" applyBorder="1" applyAlignment="1">
      <alignment horizontal="center" vertical="center"/>
    </xf>
    <xf numFmtId="164" fontId="1" fillId="4" borderId="19" xfId="1" quotePrefix="1" applyNumberFormat="1" applyFill="1" applyBorder="1" applyAlignment="1">
      <alignment horizontal="center" vertical="center"/>
    </xf>
    <xf numFmtId="168" fontId="1" fillId="0" borderId="11" xfId="1" applyNumberFormat="1" applyBorder="1" applyAlignment="1">
      <alignment horizontal="center" vertical="center"/>
    </xf>
    <xf numFmtId="168" fontId="1" fillId="0" borderId="30" xfId="1" applyNumberFormat="1" applyBorder="1" applyAlignment="1">
      <alignment horizontal="center" vertical="center"/>
    </xf>
    <xf numFmtId="164" fontId="1" fillId="4" borderId="6" xfId="1" quotePrefix="1" applyNumberFormat="1" applyFill="1" applyBorder="1" applyAlignment="1">
      <alignment horizontal="center" vertical="center"/>
    </xf>
    <xf numFmtId="164" fontId="1" fillId="4" borderId="38" xfId="1" quotePrefix="1" applyNumberFormat="1" applyFill="1" applyBorder="1" applyAlignment="1">
      <alignment horizontal="center" vertical="center"/>
    </xf>
    <xf numFmtId="166" fontId="11" fillId="0" borderId="25" xfId="0" applyNumberFormat="1" applyFont="1" applyBorder="1" applyAlignment="1">
      <alignment horizontal="right" vertical="top"/>
    </xf>
    <xf numFmtId="166" fontId="11" fillId="0" borderId="27" xfId="0" applyNumberFormat="1" applyFont="1" applyBorder="1" applyAlignment="1">
      <alignment horizontal="right" vertical="top"/>
    </xf>
    <xf numFmtId="166" fontId="11" fillId="0" borderId="28" xfId="0" applyNumberFormat="1" applyFont="1" applyBorder="1" applyAlignment="1">
      <alignment horizontal="right" vertical="top"/>
    </xf>
    <xf numFmtId="14" fontId="15" fillId="4" borderId="16" xfId="0" applyNumberFormat="1" applyFont="1" applyFill="1" applyBorder="1" applyAlignment="1">
      <alignment horizontal="center" vertical="top"/>
    </xf>
    <xf numFmtId="0" fontId="4" fillId="4" borderId="17" xfId="1" applyFont="1" applyFill="1" applyBorder="1" applyAlignment="1">
      <alignment horizontal="center" vertical="center"/>
    </xf>
    <xf numFmtId="166" fontId="12" fillId="0" borderId="39" xfId="1" applyNumberFormat="1" applyFont="1" applyBorder="1" applyAlignment="1">
      <alignment horizontal="center" vertical="center"/>
    </xf>
    <xf numFmtId="0" fontId="1" fillId="4" borderId="34" xfId="1" applyFill="1" applyBorder="1" applyAlignment="1">
      <alignment horizontal="center" vertical="center"/>
    </xf>
    <xf numFmtId="14" fontId="15" fillId="4" borderId="34" xfId="0" applyNumberFormat="1" applyFont="1" applyFill="1" applyBorder="1" applyAlignment="1">
      <alignment horizontal="center" vertical="top"/>
    </xf>
    <xf numFmtId="0" fontId="4" fillId="4" borderId="40" xfId="1" applyFont="1" applyFill="1" applyBorder="1" applyAlignment="1">
      <alignment horizontal="center" vertical="center"/>
    </xf>
    <xf numFmtId="2" fontId="4" fillId="0" borderId="41" xfId="1" applyNumberFormat="1" applyFont="1" applyBorder="1" applyAlignment="1">
      <alignment vertical="center"/>
    </xf>
    <xf numFmtId="166" fontId="12" fillId="0" borderId="42" xfId="1" applyNumberFormat="1" applyFont="1" applyBorder="1" applyAlignment="1">
      <alignment horizontal="center" vertical="center"/>
    </xf>
    <xf numFmtId="2" fontId="4" fillId="0" borderId="43" xfId="1" applyNumberFormat="1" applyFont="1" applyBorder="1" applyAlignment="1">
      <alignment vertical="center"/>
    </xf>
    <xf numFmtId="0" fontId="4" fillId="4" borderId="11" xfId="1" applyFont="1" applyFill="1" applyBorder="1" applyAlignment="1">
      <alignment horizontal="center" vertical="center"/>
    </xf>
    <xf numFmtId="0" fontId="4" fillId="5" borderId="8" xfId="1" applyFont="1" applyFill="1" applyBorder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14" fontId="15" fillId="4" borderId="8" xfId="0" applyNumberFormat="1" applyFont="1" applyFill="1" applyBorder="1" applyAlignment="1">
      <alignment horizontal="center" vertical="top"/>
    </xf>
    <xf numFmtId="0" fontId="4" fillId="4" borderId="8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left" vertical="center"/>
    </xf>
    <xf numFmtId="14" fontId="15" fillId="0" borderId="8" xfId="0" applyNumberFormat="1" applyFont="1" applyBorder="1" applyAlignment="1">
      <alignment horizontal="center" vertical="top"/>
    </xf>
    <xf numFmtId="0" fontId="4" fillId="0" borderId="9" xfId="1" applyFont="1" applyBorder="1" applyAlignment="1">
      <alignment horizontal="center" vertical="center"/>
    </xf>
    <xf numFmtId="2" fontId="4" fillId="0" borderId="10" xfId="1" applyNumberFormat="1" applyFont="1" applyBorder="1" applyAlignment="1">
      <alignment vertical="center"/>
    </xf>
    <xf numFmtId="166" fontId="12" fillId="0" borderId="44" xfId="1" applyNumberFormat="1" applyFont="1" applyBorder="1" applyAlignment="1">
      <alignment horizontal="center" vertical="center"/>
    </xf>
    <xf numFmtId="0" fontId="4" fillId="4" borderId="38" xfId="1" applyFont="1" applyFill="1" applyBorder="1" applyAlignment="1">
      <alignment horizontal="center" vertical="center"/>
    </xf>
    <xf numFmtId="164" fontId="1" fillId="4" borderId="45" xfId="1" quotePrefix="1" applyNumberFormat="1" applyFill="1" applyBorder="1" applyAlignment="1">
      <alignment horizontal="center" vertical="center"/>
    </xf>
    <xf numFmtId="0" fontId="1" fillId="0" borderId="45" xfId="1" applyBorder="1" applyAlignment="1">
      <alignment horizontal="center" vertical="center"/>
    </xf>
    <xf numFmtId="0" fontId="4" fillId="4" borderId="46" xfId="1" applyFont="1" applyFill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2" fontId="4" fillId="0" borderId="47" xfId="1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23" xfId="1" applyFont="1" applyBorder="1" applyAlignment="1">
      <alignment vertical="center"/>
    </xf>
    <xf numFmtId="0" fontId="8" fillId="0" borderId="20" xfId="1" applyFont="1" applyBorder="1" applyAlignment="1">
      <alignment vertical="center"/>
    </xf>
    <xf numFmtId="0" fontId="1" fillId="4" borderId="45" xfId="1" applyFill="1" applyBorder="1" applyAlignment="1">
      <alignment horizontal="left" vertical="center"/>
    </xf>
    <xf numFmtId="0" fontId="5" fillId="4" borderId="34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498008D8-0A08-4113-A252-BD72D53DE570}"/>
  </cellStyles>
  <dxfs count="40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</dxfs>
  <tableStyles count="1" defaultTableStyle="TableStyleMedium2" defaultPivotStyle="PivotStyleLight16">
    <tableStyle name="Invisible" pivot="0" table="0" count="0" xr9:uid="{D2019F31-0D91-4D11-A33F-2C23774B26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234348</xdr:colOff>
      <xdr:row>0</xdr:row>
      <xdr:rowOff>77058</xdr:rowOff>
    </xdr:from>
    <xdr:to>
      <xdr:col>9</xdr:col>
      <xdr:colOff>1125794</xdr:colOff>
      <xdr:row>3</xdr:row>
      <xdr:rowOff>135239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F5980-BDBB-4DA6-A84F-0D7AF6D38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4078" y="77058"/>
          <a:ext cx="1936707" cy="1036424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113</xdr:row>
      <xdr:rowOff>0</xdr:rowOff>
    </xdr:from>
    <xdr:to>
      <xdr:col>2</xdr:col>
      <xdr:colOff>1038225</xdr:colOff>
      <xdr:row>113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6E0A52B-E306-4986-BE67-15A0D95A4D95}"/>
            </a:ext>
          </a:extLst>
        </xdr:cNvPr>
        <xdr:cNvCxnSpPr/>
      </xdr:nvCxnSpPr>
      <xdr:spPr>
        <a:xfrm>
          <a:off x="682625" y="29346525"/>
          <a:ext cx="1809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556655</xdr:colOff>
      <xdr:row>114</xdr:row>
      <xdr:rowOff>151114</xdr:rowOff>
    </xdr:from>
    <xdr:to>
      <xdr:col>2</xdr:col>
      <xdr:colOff>964514</xdr:colOff>
      <xdr:row>114</xdr:row>
      <xdr:rowOff>151114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B2FC92C-96E9-4D6C-8AF6-4FA3CEE32086}"/>
            </a:ext>
          </a:extLst>
        </xdr:cNvPr>
        <xdr:cNvCxnSpPr/>
      </xdr:nvCxnSpPr>
      <xdr:spPr>
        <a:xfrm>
          <a:off x="556655" y="32626215"/>
          <a:ext cx="182373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19050</xdr:colOff>
      <xdr:row>113</xdr:row>
      <xdr:rowOff>0</xdr:rowOff>
    </xdr:from>
    <xdr:to>
      <xdr:col>5</xdr:col>
      <xdr:colOff>924470</xdr:colOff>
      <xdr:row>113</xdr:row>
      <xdr:rowOff>12447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B2034A-6B0E-4F45-BFF6-CCD47DA64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400" y="29346525"/>
          <a:ext cx="1892845" cy="9272"/>
        </a:xfrm>
        <a:prstGeom prst="rect">
          <a:avLst/>
        </a:prstGeom>
      </xdr:spPr>
    </xdr:pic>
    <xdr:clientData/>
  </xdr:twoCellAnchor>
  <xdr:twoCellAnchor editAs="oneCell">
    <xdr:from>
      <xdr:col>3</xdr:col>
      <xdr:colOff>984594</xdr:colOff>
      <xdr:row>114</xdr:row>
      <xdr:rowOff>167332</xdr:rowOff>
    </xdr:from>
    <xdr:to>
      <xdr:col>5</xdr:col>
      <xdr:colOff>905250</xdr:colOff>
      <xdr:row>114</xdr:row>
      <xdr:rowOff>182954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645659-3673-4B7C-80DB-158A295F3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9729" y="32642433"/>
          <a:ext cx="1899710" cy="12447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113</xdr:row>
      <xdr:rowOff>0</xdr:rowOff>
    </xdr:from>
    <xdr:to>
      <xdr:col>8</xdr:col>
      <xdr:colOff>667552</xdr:colOff>
      <xdr:row>113</xdr:row>
      <xdr:rowOff>12447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127E3E-937E-4AA6-8108-44D5CFCC0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1550" y="29346525"/>
          <a:ext cx="1908977" cy="9272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114</xdr:row>
      <xdr:rowOff>171450</xdr:rowOff>
    </xdr:from>
    <xdr:to>
      <xdr:col>8</xdr:col>
      <xdr:colOff>686602</xdr:colOff>
      <xdr:row>114</xdr:row>
      <xdr:rowOff>183897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D1027C-A73B-4DFB-A9F5-384B15FB4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0600" y="29708475"/>
          <a:ext cx="1908977" cy="9272"/>
        </a:xfrm>
        <a:prstGeom prst="rect">
          <a:avLst/>
        </a:prstGeom>
      </xdr:spPr>
    </xdr:pic>
    <xdr:clientData/>
  </xdr:twoCellAnchor>
  <xdr:oneCellAnchor>
    <xdr:from>
      <xdr:col>8</xdr:col>
      <xdr:colOff>244045</xdr:colOff>
      <xdr:row>75</xdr:row>
      <xdr:rowOff>38787</xdr:rowOff>
    </xdr:from>
    <xdr:ext cx="1937782" cy="1142746"/>
    <xdr:pic>
      <xdr:nvPicPr>
        <xdr:cNvPr id="15" name="Picture 14">
          <a:extLst>
            <a:ext uri="{FF2B5EF4-FFF2-40B4-BE49-F238E27FC236}">
              <a16:creationId xmlns:a16="http://schemas.microsoft.com/office/drawing/2014/main" id="{A1EB11DF-2648-468E-B815-AE111706F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3775" y="16462976"/>
          <a:ext cx="1937782" cy="1142746"/>
        </a:xfrm>
        <a:prstGeom prst="rect">
          <a:avLst/>
        </a:prstGeom>
      </xdr:spPr>
    </xdr:pic>
    <xdr:clientData/>
  </xdr:oneCellAnchor>
  <xdr:twoCellAnchor>
    <xdr:from>
      <xdr:col>1</xdr:col>
      <xdr:colOff>772297</xdr:colOff>
      <xdr:row>66</xdr:row>
      <xdr:rowOff>12871</xdr:rowOff>
    </xdr:from>
    <xdr:to>
      <xdr:col>2</xdr:col>
      <xdr:colOff>1778772</xdr:colOff>
      <xdr:row>66</xdr:row>
      <xdr:rowOff>12871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B6B1A87-CE01-4E1A-9C15-28009B8A8D91}"/>
            </a:ext>
          </a:extLst>
        </xdr:cNvPr>
        <xdr:cNvCxnSpPr/>
      </xdr:nvCxnSpPr>
      <xdr:spPr>
        <a:xfrm>
          <a:off x="1377263" y="14532060"/>
          <a:ext cx="18173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67</xdr:row>
      <xdr:rowOff>193074</xdr:rowOff>
    </xdr:from>
    <xdr:to>
      <xdr:col>2</xdr:col>
      <xdr:colOff>1817387</xdr:colOff>
      <xdr:row>67</xdr:row>
      <xdr:rowOff>193074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1683FA0-47B6-49D1-BE46-6816B721D107}"/>
            </a:ext>
          </a:extLst>
        </xdr:cNvPr>
        <xdr:cNvCxnSpPr/>
      </xdr:nvCxnSpPr>
      <xdr:spPr>
        <a:xfrm>
          <a:off x="1415878" y="14918209"/>
          <a:ext cx="18173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12872</xdr:colOff>
      <xdr:row>66</xdr:row>
      <xdr:rowOff>12872</xdr:rowOff>
    </xdr:from>
    <xdr:to>
      <xdr:col>5</xdr:col>
      <xdr:colOff>839144</xdr:colOff>
      <xdr:row>66</xdr:row>
      <xdr:rowOff>12872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FBA0170-64A4-4CC1-9DAB-7154767FAB67}"/>
            </a:ext>
          </a:extLst>
        </xdr:cNvPr>
        <xdr:cNvCxnSpPr/>
      </xdr:nvCxnSpPr>
      <xdr:spPr>
        <a:xfrm>
          <a:off x="4299122" y="14532061"/>
          <a:ext cx="18173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978243</xdr:colOff>
      <xdr:row>67</xdr:row>
      <xdr:rowOff>193074</xdr:rowOff>
    </xdr:from>
    <xdr:to>
      <xdr:col>5</xdr:col>
      <xdr:colOff>813400</xdr:colOff>
      <xdr:row>67</xdr:row>
      <xdr:rowOff>193074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82919E2-14AF-449A-9D09-C363EABA179C}"/>
            </a:ext>
          </a:extLst>
        </xdr:cNvPr>
        <xdr:cNvCxnSpPr/>
      </xdr:nvCxnSpPr>
      <xdr:spPr>
        <a:xfrm>
          <a:off x="4273378" y="14918209"/>
          <a:ext cx="18173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12872</xdr:colOff>
      <xdr:row>65</xdr:row>
      <xdr:rowOff>193074</xdr:rowOff>
    </xdr:from>
    <xdr:to>
      <xdr:col>8</xdr:col>
      <xdr:colOff>575190</xdr:colOff>
      <xdr:row>65</xdr:row>
      <xdr:rowOff>193074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6C82141-741D-4853-84E3-9EA455C09F7F}"/>
            </a:ext>
          </a:extLst>
        </xdr:cNvPr>
        <xdr:cNvCxnSpPr/>
      </xdr:nvCxnSpPr>
      <xdr:spPr>
        <a:xfrm>
          <a:off x="7272467" y="14506317"/>
          <a:ext cx="182373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67</xdr:row>
      <xdr:rowOff>193075</xdr:rowOff>
    </xdr:from>
    <xdr:to>
      <xdr:col>8</xdr:col>
      <xdr:colOff>562318</xdr:colOff>
      <xdr:row>67</xdr:row>
      <xdr:rowOff>193075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3C909DB-5368-4A0D-98E1-4527CA911B7F}"/>
            </a:ext>
          </a:extLst>
        </xdr:cNvPr>
        <xdr:cNvCxnSpPr/>
      </xdr:nvCxnSpPr>
      <xdr:spPr>
        <a:xfrm>
          <a:off x="7259595" y="14918210"/>
          <a:ext cx="182373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388807</xdr:colOff>
      <xdr:row>173</xdr:row>
      <xdr:rowOff>54661</xdr:rowOff>
    </xdr:from>
    <xdr:ext cx="2184401" cy="734604"/>
    <xdr:pic>
      <xdr:nvPicPr>
        <xdr:cNvPr id="16" name="Picture 15">
          <a:extLst>
            <a:ext uri="{FF2B5EF4-FFF2-40B4-BE49-F238E27FC236}">
              <a16:creationId xmlns:a16="http://schemas.microsoft.com/office/drawing/2014/main" id="{C6F7227C-CA41-47B9-AB91-1D35238CB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84" y="28526688"/>
          <a:ext cx="2184401" cy="734604"/>
        </a:xfrm>
        <a:prstGeom prst="rect">
          <a:avLst/>
        </a:prstGeom>
      </xdr:spPr>
    </xdr:pic>
    <xdr:clientData/>
  </xdr:oneCellAnchor>
  <xdr:oneCellAnchor>
    <xdr:from>
      <xdr:col>12</xdr:col>
      <xdr:colOff>817090</xdr:colOff>
      <xdr:row>180</xdr:row>
      <xdr:rowOff>115845</xdr:rowOff>
    </xdr:from>
    <xdr:ext cx="1893360" cy="9272"/>
    <xdr:pic>
      <xdr:nvPicPr>
        <xdr:cNvPr id="19" name="Picture 18">
          <a:extLst>
            <a:ext uri="{FF2B5EF4-FFF2-40B4-BE49-F238E27FC236}">
              <a16:creationId xmlns:a16="http://schemas.microsoft.com/office/drawing/2014/main" id="{CAB153F0-B23F-4F98-8340-AB1840034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2056" y="29939392"/>
          <a:ext cx="1893360" cy="9272"/>
        </a:xfrm>
        <a:prstGeom prst="rect">
          <a:avLst/>
        </a:prstGeom>
      </xdr:spPr>
    </xdr:pic>
    <xdr:clientData/>
  </xdr:oneCellAnchor>
  <xdr:oneCellAnchor>
    <xdr:from>
      <xdr:col>12</xdr:col>
      <xdr:colOff>453683</xdr:colOff>
      <xdr:row>166</xdr:row>
      <xdr:rowOff>128716</xdr:rowOff>
    </xdr:from>
    <xdr:ext cx="1902885" cy="15622"/>
    <xdr:pic>
      <xdr:nvPicPr>
        <xdr:cNvPr id="20" name="Picture 19">
          <a:extLst>
            <a:ext uri="{FF2B5EF4-FFF2-40B4-BE49-F238E27FC236}">
              <a16:creationId xmlns:a16="http://schemas.microsoft.com/office/drawing/2014/main" id="{8F0C59C9-A543-4EEE-B703-99630FA1D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88649" y="27249223"/>
          <a:ext cx="1902885" cy="15622"/>
        </a:xfrm>
        <a:prstGeom prst="rect">
          <a:avLst/>
        </a:prstGeom>
      </xdr:spPr>
    </xdr:pic>
    <xdr:clientData/>
  </xdr:oneCellAnchor>
  <xdr:oneCellAnchor>
    <xdr:from>
      <xdr:col>15</xdr:col>
      <xdr:colOff>591752</xdr:colOff>
      <xdr:row>169</xdr:row>
      <xdr:rowOff>77229</xdr:rowOff>
    </xdr:from>
    <xdr:ext cx="1903571" cy="9272"/>
    <xdr:pic>
      <xdr:nvPicPr>
        <xdr:cNvPr id="21" name="Picture 20">
          <a:extLst>
            <a:ext uri="{FF2B5EF4-FFF2-40B4-BE49-F238E27FC236}">
              <a16:creationId xmlns:a16="http://schemas.microsoft.com/office/drawing/2014/main" id="{B24A65A0-9427-4BBF-A8E8-52CD3F510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17867" y="27776959"/>
          <a:ext cx="1903571" cy="9272"/>
        </a:xfrm>
        <a:prstGeom prst="rect">
          <a:avLst/>
        </a:prstGeom>
      </xdr:spPr>
    </xdr:pic>
    <xdr:clientData/>
  </xdr:oneCellAnchor>
  <xdr:oneCellAnchor>
    <xdr:from>
      <xdr:col>12</xdr:col>
      <xdr:colOff>443471</xdr:colOff>
      <xdr:row>169</xdr:row>
      <xdr:rowOff>64357</xdr:rowOff>
    </xdr:from>
    <xdr:ext cx="1903571" cy="9272"/>
    <xdr:pic>
      <xdr:nvPicPr>
        <xdr:cNvPr id="22" name="Picture 21">
          <a:extLst>
            <a:ext uri="{FF2B5EF4-FFF2-40B4-BE49-F238E27FC236}">
              <a16:creationId xmlns:a16="http://schemas.microsoft.com/office/drawing/2014/main" id="{DF54DBB0-BC93-49D8-9F7B-212C8A5FF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8437" y="27764087"/>
          <a:ext cx="1903571" cy="9272"/>
        </a:xfrm>
        <a:prstGeom prst="rect">
          <a:avLst/>
        </a:prstGeom>
      </xdr:spPr>
    </xdr:pic>
    <xdr:clientData/>
  </xdr:oneCellAnchor>
  <xdr:twoCellAnchor>
    <xdr:from>
      <xdr:col>1</xdr:col>
      <xdr:colOff>28575</xdr:colOff>
      <xdr:row>194</xdr:row>
      <xdr:rowOff>0</xdr:rowOff>
    </xdr:from>
    <xdr:to>
      <xdr:col>2</xdr:col>
      <xdr:colOff>1038225</xdr:colOff>
      <xdr:row>194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6A7A01FB-A978-40BF-B575-ABD0984838DD}"/>
            </a:ext>
          </a:extLst>
        </xdr:cNvPr>
        <xdr:cNvCxnSpPr/>
      </xdr:nvCxnSpPr>
      <xdr:spPr>
        <a:xfrm>
          <a:off x="694724" y="32050338"/>
          <a:ext cx="18205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556655</xdr:colOff>
      <xdr:row>195</xdr:row>
      <xdr:rowOff>151114</xdr:rowOff>
    </xdr:from>
    <xdr:to>
      <xdr:col>2</xdr:col>
      <xdr:colOff>964514</xdr:colOff>
      <xdr:row>195</xdr:row>
      <xdr:rowOff>151114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AB802077-A831-4477-8C81-0D1450A9C030}"/>
            </a:ext>
          </a:extLst>
        </xdr:cNvPr>
        <xdr:cNvCxnSpPr/>
      </xdr:nvCxnSpPr>
      <xdr:spPr>
        <a:xfrm>
          <a:off x="559830" y="32394526"/>
          <a:ext cx="18817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19050</xdr:colOff>
      <xdr:row>194</xdr:row>
      <xdr:rowOff>0</xdr:rowOff>
    </xdr:from>
    <xdr:ext cx="1893360" cy="9272"/>
    <xdr:pic>
      <xdr:nvPicPr>
        <xdr:cNvPr id="23" name="Picture 22">
          <a:extLst>
            <a:ext uri="{FF2B5EF4-FFF2-40B4-BE49-F238E27FC236}">
              <a16:creationId xmlns:a16="http://schemas.microsoft.com/office/drawing/2014/main" id="{7F42F66E-452A-45BC-B654-8524D6546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69658" y="32050338"/>
          <a:ext cx="1893360" cy="9272"/>
        </a:xfrm>
        <a:prstGeom prst="rect">
          <a:avLst/>
        </a:prstGeom>
      </xdr:spPr>
    </xdr:pic>
    <xdr:clientData/>
  </xdr:oneCellAnchor>
  <xdr:oneCellAnchor>
    <xdr:from>
      <xdr:col>3</xdr:col>
      <xdr:colOff>984594</xdr:colOff>
      <xdr:row>195</xdr:row>
      <xdr:rowOff>167332</xdr:rowOff>
    </xdr:from>
    <xdr:ext cx="1902886" cy="15622"/>
    <xdr:pic>
      <xdr:nvPicPr>
        <xdr:cNvPr id="24" name="Picture 23">
          <a:extLst>
            <a:ext uri="{FF2B5EF4-FFF2-40B4-BE49-F238E27FC236}">
              <a16:creationId xmlns:a16="http://schemas.microsoft.com/office/drawing/2014/main" id="{E9FEF42D-D44A-460D-B694-1334BCA8C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0912" y="32407569"/>
          <a:ext cx="1902886" cy="15622"/>
        </a:xfrm>
        <a:prstGeom prst="rect">
          <a:avLst/>
        </a:prstGeom>
      </xdr:spPr>
    </xdr:pic>
    <xdr:clientData/>
  </xdr:oneCellAnchor>
  <xdr:oneCellAnchor>
    <xdr:from>
      <xdr:col>7</xdr:col>
      <xdr:colOff>28575</xdr:colOff>
      <xdr:row>194</xdr:row>
      <xdr:rowOff>0</xdr:rowOff>
    </xdr:from>
    <xdr:ext cx="1903571" cy="9272"/>
    <xdr:pic>
      <xdr:nvPicPr>
        <xdr:cNvPr id="25" name="Picture 24">
          <a:extLst>
            <a:ext uri="{FF2B5EF4-FFF2-40B4-BE49-F238E27FC236}">
              <a16:creationId xmlns:a16="http://schemas.microsoft.com/office/drawing/2014/main" id="{7E0B3DB3-F39B-466C-A5F2-6EC63D243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9353" y="32050338"/>
          <a:ext cx="1903571" cy="9272"/>
        </a:xfrm>
        <a:prstGeom prst="rect">
          <a:avLst/>
        </a:prstGeom>
      </xdr:spPr>
    </xdr:pic>
    <xdr:clientData/>
  </xdr:oneCellAnchor>
  <xdr:oneCellAnchor>
    <xdr:from>
      <xdr:col>7</xdr:col>
      <xdr:colOff>47625</xdr:colOff>
      <xdr:row>195</xdr:row>
      <xdr:rowOff>171450</xdr:rowOff>
    </xdr:from>
    <xdr:ext cx="1903571" cy="9272"/>
    <xdr:pic>
      <xdr:nvPicPr>
        <xdr:cNvPr id="26" name="Picture 25">
          <a:extLst>
            <a:ext uri="{FF2B5EF4-FFF2-40B4-BE49-F238E27FC236}">
              <a16:creationId xmlns:a16="http://schemas.microsoft.com/office/drawing/2014/main" id="{0C4037B4-AFAA-423F-B51D-72B92C76D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8403" y="32414862"/>
          <a:ext cx="1903571" cy="9272"/>
        </a:xfrm>
        <a:prstGeom prst="rect">
          <a:avLst/>
        </a:prstGeom>
      </xdr:spPr>
    </xdr:pic>
    <xdr:clientData/>
  </xdr:oneCellAnchor>
  <xdr:oneCellAnchor>
    <xdr:from>
      <xdr:col>8</xdr:col>
      <xdr:colOff>269788</xdr:colOff>
      <xdr:row>159</xdr:row>
      <xdr:rowOff>54834</xdr:rowOff>
    </xdr:from>
    <xdr:ext cx="1937782" cy="1142746"/>
    <xdr:pic>
      <xdr:nvPicPr>
        <xdr:cNvPr id="27" name="Picture 26">
          <a:extLst>
            <a:ext uri="{FF2B5EF4-FFF2-40B4-BE49-F238E27FC236}">
              <a16:creationId xmlns:a16="http://schemas.microsoft.com/office/drawing/2014/main" id="{091265E0-7003-41CD-9A45-264A8C9BC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9518" y="32877469"/>
          <a:ext cx="1937782" cy="114274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8849-3F60-40DD-93AD-66F2F00A36A8}">
  <dimension ref="A1:M196"/>
  <sheetViews>
    <sheetView tabSelected="1" showWhiteSpace="0" topLeftCell="C5" zoomScale="115" zoomScaleNormal="115" zoomScalePageLayoutView="74" workbookViewId="0">
      <selection activeCell="E20" sqref="E20"/>
    </sheetView>
  </sheetViews>
  <sheetFormatPr defaultRowHeight="15" customHeight="1" x14ac:dyDescent="0.25"/>
  <cols>
    <col min="1" max="1" width="9.28515625" style="61" customWidth="1"/>
    <col min="2" max="2" width="11.42578125" style="3" customWidth="1"/>
    <col min="3" max="3" width="23.42578125" style="1" customWidth="1"/>
    <col min="4" max="5" width="13.85546875" style="3" customWidth="1"/>
    <col min="6" max="6" width="14.85546875" style="3" customWidth="1"/>
    <col min="7" max="7" width="17.42578125" style="3" customWidth="1"/>
    <col min="8" max="8" width="17.7109375" style="3" customWidth="1"/>
    <col min="9" max="9" width="13.85546875" style="3" customWidth="1"/>
    <col min="10" max="10" width="16.85546875" style="1" customWidth="1"/>
    <col min="11" max="11" width="2.85546875" style="1" customWidth="1"/>
    <col min="12" max="12" width="8.7109375" style="1"/>
    <col min="13" max="13" width="14.7109375" style="36" customWidth="1"/>
    <col min="14" max="256" width="8.7109375" style="1"/>
    <col min="257" max="257" width="8" style="1" customWidth="1"/>
    <col min="258" max="258" width="3.140625" style="1" customWidth="1"/>
    <col min="259" max="259" width="12.42578125" style="1" customWidth="1"/>
    <col min="260" max="263" width="13.85546875" style="1" customWidth="1"/>
    <col min="264" max="264" width="19.85546875" style="1" customWidth="1"/>
    <col min="265" max="265" width="13.140625" style="1" customWidth="1"/>
    <col min="266" max="266" width="14.140625" style="1" bestFit="1" customWidth="1"/>
    <col min="267" max="267" width="2.85546875" style="1" customWidth="1"/>
    <col min="268" max="512" width="8.7109375" style="1"/>
    <col min="513" max="513" width="8" style="1" customWidth="1"/>
    <col min="514" max="514" width="3.140625" style="1" customWidth="1"/>
    <col min="515" max="515" width="12.42578125" style="1" customWidth="1"/>
    <col min="516" max="519" width="13.85546875" style="1" customWidth="1"/>
    <col min="520" max="520" width="19.85546875" style="1" customWidth="1"/>
    <col min="521" max="521" width="13.140625" style="1" customWidth="1"/>
    <col min="522" max="522" width="14.140625" style="1" bestFit="1" customWidth="1"/>
    <col min="523" max="523" width="2.85546875" style="1" customWidth="1"/>
    <col min="524" max="768" width="8.7109375" style="1"/>
    <col min="769" max="769" width="8" style="1" customWidth="1"/>
    <col min="770" max="770" width="3.140625" style="1" customWidth="1"/>
    <col min="771" max="771" width="12.42578125" style="1" customWidth="1"/>
    <col min="772" max="775" width="13.85546875" style="1" customWidth="1"/>
    <col min="776" max="776" width="19.85546875" style="1" customWidth="1"/>
    <col min="777" max="777" width="13.140625" style="1" customWidth="1"/>
    <col min="778" max="778" width="14.140625" style="1" bestFit="1" customWidth="1"/>
    <col min="779" max="779" width="2.85546875" style="1" customWidth="1"/>
    <col min="780" max="1024" width="8.7109375" style="1"/>
    <col min="1025" max="1025" width="8" style="1" customWidth="1"/>
    <col min="1026" max="1026" width="3.140625" style="1" customWidth="1"/>
    <col min="1027" max="1027" width="12.42578125" style="1" customWidth="1"/>
    <col min="1028" max="1031" width="13.85546875" style="1" customWidth="1"/>
    <col min="1032" max="1032" width="19.85546875" style="1" customWidth="1"/>
    <col min="1033" max="1033" width="13.140625" style="1" customWidth="1"/>
    <col min="1034" max="1034" width="14.140625" style="1" bestFit="1" customWidth="1"/>
    <col min="1035" max="1035" width="2.85546875" style="1" customWidth="1"/>
    <col min="1036" max="1280" width="8.7109375" style="1"/>
    <col min="1281" max="1281" width="8" style="1" customWidth="1"/>
    <col min="1282" max="1282" width="3.140625" style="1" customWidth="1"/>
    <col min="1283" max="1283" width="12.42578125" style="1" customWidth="1"/>
    <col min="1284" max="1287" width="13.85546875" style="1" customWidth="1"/>
    <col min="1288" max="1288" width="19.85546875" style="1" customWidth="1"/>
    <col min="1289" max="1289" width="13.140625" style="1" customWidth="1"/>
    <col min="1290" max="1290" width="14.140625" style="1" bestFit="1" customWidth="1"/>
    <col min="1291" max="1291" width="2.85546875" style="1" customWidth="1"/>
    <col min="1292" max="1536" width="8.7109375" style="1"/>
    <col min="1537" max="1537" width="8" style="1" customWidth="1"/>
    <col min="1538" max="1538" width="3.140625" style="1" customWidth="1"/>
    <col min="1539" max="1539" width="12.42578125" style="1" customWidth="1"/>
    <col min="1540" max="1543" width="13.85546875" style="1" customWidth="1"/>
    <col min="1544" max="1544" width="19.85546875" style="1" customWidth="1"/>
    <col min="1545" max="1545" width="13.140625" style="1" customWidth="1"/>
    <col min="1546" max="1546" width="14.140625" style="1" bestFit="1" customWidth="1"/>
    <col min="1547" max="1547" width="2.85546875" style="1" customWidth="1"/>
    <col min="1548" max="1792" width="8.7109375" style="1"/>
    <col min="1793" max="1793" width="8" style="1" customWidth="1"/>
    <col min="1794" max="1794" width="3.140625" style="1" customWidth="1"/>
    <col min="1795" max="1795" width="12.42578125" style="1" customWidth="1"/>
    <col min="1796" max="1799" width="13.85546875" style="1" customWidth="1"/>
    <col min="1800" max="1800" width="19.85546875" style="1" customWidth="1"/>
    <col min="1801" max="1801" width="13.140625" style="1" customWidth="1"/>
    <col min="1802" max="1802" width="14.140625" style="1" bestFit="1" customWidth="1"/>
    <col min="1803" max="1803" width="2.85546875" style="1" customWidth="1"/>
    <col min="1804" max="2048" width="8.7109375" style="1"/>
    <col min="2049" max="2049" width="8" style="1" customWidth="1"/>
    <col min="2050" max="2050" width="3.140625" style="1" customWidth="1"/>
    <col min="2051" max="2051" width="12.42578125" style="1" customWidth="1"/>
    <col min="2052" max="2055" width="13.85546875" style="1" customWidth="1"/>
    <col min="2056" max="2056" width="19.85546875" style="1" customWidth="1"/>
    <col min="2057" max="2057" width="13.140625" style="1" customWidth="1"/>
    <col min="2058" max="2058" width="14.140625" style="1" bestFit="1" customWidth="1"/>
    <col min="2059" max="2059" width="2.85546875" style="1" customWidth="1"/>
    <col min="2060" max="2304" width="8.7109375" style="1"/>
    <col min="2305" max="2305" width="8" style="1" customWidth="1"/>
    <col min="2306" max="2306" width="3.140625" style="1" customWidth="1"/>
    <col min="2307" max="2307" width="12.42578125" style="1" customWidth="1"/>
    <col min="2308" max="2311" width="13.85546875" style="1" customWidth="1"/>
    <col min="2312" max="2312" width="19.85546875" style="1" customWidth="1"/>
    <col min="2313" max="2313" width="13.140625" style="1" customWidth="1"/>
    <col min="2314" max="2314" width="14.140625" style="1" bestFit="1" customWidth="1"/>
    <col min="2315" max="2315" width="2.85546875" style="1" customWidth="1"/>
    <col min="2316" max="2560" width="8.7109375" style="1"/>
    <col min="2561" max="2561" width="8" style="1" customWidth="1"/>
    <col min="2562" max="2562" width="3.140625" style="1" customWidth="1"/>
    <col min="2563" max="2563" width="12.42578125" style="1" customWidth="1"/>
    <col min="2564" max="2567" width="13.85546875" style="1" customWidth="1"/>
    <col min="2568" max="2568" width="19.85546875" style="1" customWidth="1"/>
    <col min="2569" max="2569" width="13.140625" style="1" customWidth="1"/>
    <col min="2570" max="2570" width="14.140625" style="1" bestFit="1" customWidth="1"/>
    <col min="2571" max="2571" width="2.85546875" style="1" customWidth="1"/>
    <col min="2572" max="2816" width="8.7109375" style="1"/>
    <col min="2817" max="2817" width="8" style="1" customWidth="1"/>
    <col min="2818" max="2818" width="3.140625" style="1" customWidth="1"/>
    <col min="2819" max="2819" width="12.42578125" style="1" customWidth="1"/>
    <col min="2820" max="2823" width="13.85546875" style="1" customWidth="1"/>
    <col min="2824" max="2824" width="19.85546875" style="1" customWidth="1"/>
    <col min="2825" max="2825" width="13.140625" style="1" customWidth="1"/>
    <col min="2826" max="2826" width="14.140625" style="1" bestFit="1" customWidth="1"/>
    <col min="2827" max="2827" width="2.85546875" style="1" customWidth="1"/>
    <col min="2828" max="3072" width="8.7109375" style="1"/>
    <col min="3073" max="3073" width="8" style="1" customWidth="1"/>
    <col min="3074" max="3074" width="3.140625" style="1" customWidth="1"/>
    <col min="3075" max="3075" width="12.42578125" style="1" customWidth="1"/>
    <col min="3076" max="3079" width="13.85546875" style="1" customWidth="1"/>
    <col min="3080" max="3080" width="19.85546875" style="1" customWidth="1"/>
    <col min="3081" max="3081" width="13.140625" style="1" customWidth="1"/>
    <col min="3082" max="3082" width="14.140625" style="1" bestFit="1" customWidth="1"/>
    <col min="3083" max="3083" width="2.85546875" style="1" customWidth="1"/>
    <col min="3084" max="3328" width="8.7109375" style="1"/>
    <col min="3329" max="3329" width="8" style="1" customWidth="1"/>
    <col min="3330" max="3330" width="3.140625" style="1" customWidth="1"/>
    <col min="3331" max="3331" width="12.42578125" style="1" customWidth="1"/>
    <col min="3332" max="3335" width="13.85546875" style="1" customWidth="1"/>
    <col min="3336" max="3336" width="19.85546875" style="1" customWidth="1"/>
    <col min="3337" max="3337" width="13.140625" style="1" customWidth="1"/>
    <col min="3338" max="3338" width="14.140625" style="1" bestFit="1" customWidth="1"/>
    <col min="3339" max="3339" width="2.85546875" style="1" customWidth="1"/>
    <col min="3340" max="3584" width="8.7109375" style="1"/>
    <col min="3585" max="3585" width="8" style="1" customWidth="1"/>
    <col min="3586" max="3586" width="3.140625" style="1" customWidth="1"/>
    <col min="3587" max="3587" width="12.42578125" style="1" customWidth="1"/>
    <col min="3588" max="3591" width="13.85546875" style="1" customWidth="1"/>
    <col min="3592" max="3592" width="19.85546875" style="1" customWidth="1"/>
    <col min="3593" max="3593" width="13.140625" style="1" customWidth="1"/>
    <col min="3594" max="3594" width="14.140625" style="1" bestFit="1" customWidth="1"/>
    <col min="3595" max="3595" width="2.85546875" style="1" customWidth="1"/>
    <col min="3596" max="3840" width="8.7109375" style="1"/>
    <col min="3841" max="3841" width="8" style="1" customWidth="1"/>
    <col min="3842" max="3842" width="3.140625" style="1" customWidth="1"/>
    <col min="3843" max="3843" width="12.42578125" style="1" customWidth="1"/>
    <col min="3844" max="3847" width="13.85546875" style="1" customWidth="1"/>
    <col min="3848" max="3848" width="19.85546875" style="1" customWidth="1"/>
    <col min="3849" max="3849" width="13.140625" style="1" customWidth="1"/>
    <col min="3850" max="3850" width="14.140625" style="1" bestFit="1" customWidth="1"/>
    <col min="3851" max="3851" width="2.85546875" style="1" customWidth="1"/>
    <col min="3852" max="4096" width="8.7109375" style="1"/>
    <col min="4097" max="4097" width="8" style="1" customWidth="1"/>
    <col min="4098" max="4098" width="3.140625" style="1" customWidth="1"/>
    <col min="4099" max="4099" width="12.42578125" style="1" customWidth="1"/>
    <col min="4100" max="4103" width="13.85546875" style="1" customWidth="1"/>
    <col min="4104" max="4104" width="19.85546875" style="1" customWidth="1"/>
    <col min="4105" max="4105" width="13.140625" style="1" customWidth="1"/>
    <col min="4106" max="4106" width="14.140625" style="1" bestFit="1" customWidth="1"/>
    <col min="4107" max="4107" width="2.85546875" style="1" customWidth="1"/>
    <col min="4108" max="4352" width="8.7109375" style="1"/>
    <col min="4353" max="4353" width="8" style="1" customWidth="1"/>
    <col min="4354" max="4354" width="3.140625" style="1" customWidth="1"/>
    <col min="4355" max="4355" width="12.42578125" style="1" customWidth="1"/>
    <col min="4356" max="4359" width="13.85546875" style="1" customWidth="1"/>
    <col min="4360" max="4360" width="19.85546875" style="1" customWidth="1"/>
    <col min="4361" max="4361" width="13.140625" style="1" customWidth="1"/>
    <col min="4362" max="4362" width="14.140625" style="1" bestFit="1" customWidth="1"/>
    <col min="4363" max="4363" width="2.85546875" style="1" customWidth="1"/>
    <col min="4364" max="4608" width="8.7109375" style="1"/>
    <col min="4609" max="4609" width="8" style="1" customWidth="1"/>
    <col min="4610" max="4610" width="3.140625" style="1" customWidth="1"/>
    <col min="4611" max="4611" width="12.42578125" style="1" customWidth="1"/>
    <col min="4612" max="4615" width="13.85546875" style="1" customWidth="1"/>
    <col min="4616" max="4616" width="19.85546875" style="1" customWidth="1"/>
    <col min="4617" max="4617" width="13.140625" style="1" customWidth="1"/>
    <col min="4618" max="4618" width="14.140625" style="1" bestFit="1" customWidth="1"/>
    <col min="4619" max="4619" width="2.85546875" style="1" customWidth="1"/>
    <col min="4620" max="4864" width="8.7109375" style="1"/>
    <col min="4865" max="4865" width="8" style="1" customWidth="1"/>
    <col min="4866" max="4866" width="3.140625" style="1" customWidth="1"/>
    <col min="4867" max="4867" width="12.42578125" style="1" customWidth="1"/>
    <col min="4868" max="4871" width="13.85546875" style="1" customWidth="1"/>
    <col min="4872" max="4872" width="19.85546875" style="1" customWidth="1"/>
    <col min="4873" max="4873" width="13.140625" style="1" customWidth="1"/>
    <col min="4874" max="4874" width="14.140625" style="1" bestFit="1" customWidth="1"/>
    <col min="4875" max="4875" width="2.85546875" style="1" customWidth="1"/>
    <col min="4876" max="5120" width="8.7109375" style="1"/>
    <col min="5121" max="5121" width="8" style="1" customWidth="1"/>
    <col min="5122" max="5122" width="3.140625" style="1" customWidth="1"/>
    <col min="5123" max="5123" width="12.42578125" style="1" customWidth="1"/>
    <col min="5124" max="5127" width="13.85546875" style="1" customWidth="1"/>
    <col min="5128" max="5128" width="19.85546875" style="1" customWidth="1"/>
    <col min="5129" max="5129" width="13.140625" style="1" customWidth="1"/>
    <col min="5130" max="5130" width="14.140625" style="1" bestFit="1" customWidth="1"/>
    <col min="5131" max="5131" width="2.85546875" style="1" customWidth="1"/>
    <col min="5132" max="5376" width="8.7109375" style="1"/>
    <col min="5377" max="5377" width="8" style="1" customWidth="1"/>
    <col min="5378" max="5378" width="3.140625" style="1" customWidth="1"/>
    <col min="5379" max="5379" width="12.42578125" style="1" customWidth="1"/>
    <col min="5380" max="5383" width="13.85546875" style="1" customWidth="1"/>
    <col min="5384" max="5384" width="19.85546875" style="1" customWidth="1"/>
    <col min="5385" max="5385" width="13.140625" style="1" customWidth="1"/>
    <col min="5386" max="5386" width="14.140625" style="1" bestFit="1" customWidth="1"/>
    <col min="5387" max="5387" width="2.85546875" style="1" customWidth="1"/>
    <col min="5388" max="5632" width="8.7109375" style="1"/>
    <col min="5633" max="5633" width="8" style="1" customWidth="1"/>
    <col min="5634" max="5634" width="3.140625" style="1" customWidth="1"/>
    <col min="5635" max="5635" width="12.42578125" style="1" customWidth="1"/>
    <col min="5636" max="5639" width="13.85546875" style="1" customWidth="1"/>
    <col min="5640" max="5640" width="19.85546875" style="1" customWidth="1"/>
    <col min="5641" max="5641" width="13.140625" style="1" customWidth="1"/>
    <col min="5642" max="5642" width="14.140625" style="1" bestFit="1" customWidth="1"/>
    <col min="5643" max="5643" width="2.85546875" style="1" customWidth="1"/>
    <col min="5644" max="5888" width="8.7109375" style="1"/>
    <col min="5889" max="5889" width="8" style="1" customWidth="1"/>
    <col min="5890" max="5890" width="3.140625" style="1" customWidth="1"/>
    <col min="5891" max="5891" width="12.42578125" style="1" customWidth="1"/>
    <col min="5892" max="5895" width="13.85546875" style="1" customWidth="1"/>
    <col min="5896" max="5896" width="19.85546875" style="1" customWidth="1"/>
    <col min="5897" max="5897" width="13.140625" style="1" customWidth="1"/>
    <col min="5898" max="5898" width="14.140625" style="1" bestFit="1" customWidth="1"/>
    <col min="5899" max="5899" width="2.85546875" style="1" customWidth="1"/>
    <col min="5900" max="6144" width="8.7109375" style="1"/>
    <col min="6145" max="6145" width="8" style="1" customWidth="1"/>
    <col min="6146" max="6146" width="3.140625" style="1" customWidth="1"/>
    <col min="6147" max="6147" width="12.42578125" style="1" customWidth="1"/>
    <col min="6148" max="6151" width="13.85546875" style="1" customWidth="1"/>
    <col min="6152" max="6152" width="19.85546875" style="1" customWidth="1"/>
    <col min="6153" max="6153" width="13.140625" style="1" customWidth="1"/>
    <col min="6154" max="6154" width="14.140625" style="1" bestFit="1" customWidth="1"/>
    <col min="6155" max="6155" width="2.85546875" style="1" customWidth="1"/>
    <col min="6156" max="6400" width="8.7109375" style="1"/>
    <col min="6401" max="6401" width="8" style="1" customWidth="1"/>
    <col min="6402" max="6402" width="3.140625" style="1" customWidth="1"/>
    <col min="6403" max="6403" width="12.42578125" style="1" customWidth="1"/>
    <col min="6404" max="6407" width="13.85546875" style="1" customWidth="1"/>
    <col min="6408" max="6408" width="19.85546875" style="1" customWidth="1"/>
    <col min="6409" max="6409" width="13.140625" style="1" customWidth="1"/>
    <col min="6410" max="6410" width="14.140625" style="1" bestFit="1" customWidth="1"/>
    <col min="6411" max="6411" width="2.85546875" style="1" customWidth="1"/>
    <col min="6412" max="6656" width="8.7109375" style="1"/>
    <col min="6657" max="6657" width="8" style="1" customWidth="1"/>
    <col min="6658" max="6658" width="3.140625" style="1" customWidth="1"/>
    <col min="6659" max="6659" width="12.42578125" style="1" customWidth="1"/>
    <col min="6660" max="6663" width="13.85546875" style="1" customWidth="1"/>
    <col min="6664" max="6664" width="19.85546875" style="1" customWidth="1"/>
    <col min="6665" max="6665" width="13.140625" style="1" customWidth="1"/>
    <col min="6666" max="6666" width="14.140625" style="1" bestFit="1" customWidth="1"/>
    <col min="6667" max="6667" width="2.85546875" style="1" customWidth="1"/>
    <col min="6668" max="6912" width="8.7109375" style="1"/>
    <col min="6913" max="6913" width="8" style="1" customWidth="1"/>
    <col min="6914" max="6914" width="3.140625" style="1" customWidth="1"/>
    <col min="6915" max="6915" width="12.42578125" style="1" customWidth="1"/>
    <col min="6916" max="6919" width="13.85546875" style="1" customWidth="1"/>
    <col min="6920" max="6920" width="19.85546875" style="1" customWidth="1"/>
    <col min="6921" max="6921" width="13.140625" style="1" customWidth="1"/>
    <col min="6922" max="6922" width="14.140625" style="1" bestFit="1" customWidth="1"/>
    <col min="6923" max="6923" width="2.85546875" style="1" customWidth="1"/>
    <col min="6924" max="7168" width="8.7109375" style="1"/>
    <col min="7169" max="7169" width="8" style="1" customWidth="1"/>
    <col min="7170" max="7170" width="3.140625" style="1" customWidth="1"/>
    <col min="7171" max="7171" width="12.42578125" style="1" customWidth="1"/>
    <col min="7172" max="7175" width="13.85546875" style="1" customWidth="1"/>
    <col min="7176" max="7176" width="19.85546875" style="1" customWidth="1"/>
    <col min="7177" max="7177" width="13.140625" style="1" customWidth="1"/>
    <col min="7178" max="7178" width="14.140625" style="1" bestFit="1" customWidth="1"/>
    <col min="7179" max="7179" width="2.85546875" style="1" customWidth="1"/>
    <col min="7180" max="7424" width="8.7109375" style="1"/>
    <col min="7425" max="7425" width="8" style="1" customWidth="1"/>
    <col min="7426" max="7426" width="3.140625" style="1" customWidth="1"/>
    <col min="7427" max="7427" width="12.42578125" style="1" customWidth="1"/>
    <col min="7428" max="7431" width="13.85546875" style="1" customWidth="1"/>
    <col min="7432" max="7432" width="19.85546875" style="1" customWidth="1"/>
    <col min="7433" max="7433" width="13.140625" style="1" customWidth="1"/>
    <col min="7434" max="7434" width="14.140625" style="1" bestFit="1" customWidth="1"/>
    <col min="7435" max="7435" width="2.85546875" style="1" customWidth="1"/>
    <col min="7436" max="7680" width="8.7109375" style="1"/>
    <col min="7681" max="7681" width="8" style="1" customWidth="1"/>
    <col min="7682" max="7682" width="3.140625" style="1" customWidth="1"/>
    <col min="7683" max="7683" width="12.42578125" style="1" customWidth="1"/>
    <col min="7684" max="7687" width="13.85546875" style="1" customWidth="1"/>
    <col min="7688" max="7688" width="19.85546875" style="1" customWidth="1"/>
    <col min="7689" max="7689" width="13.140625" style="1" customWidth="1"/>
    <col min="7690" max="7690" width="14.140625" style="1" bestFit="1" customWidth="1"/>
    <col min="7691" max="7691" width="2.85546875" style="1" customWidth="1"/>
    <col min="7692" max="7936" width="8.7109375" style="1"/>
    <col min="7937" max="7937" width="8" style="1" customWidth="1"/>
    <col min="7938" max="7938" width="3.140625" style="1" customWidth="1"/>
    <col min="7939" max="7939" width="12.42578125" style="1" customWidth="1"/>
    <col min="7940" max="7943" width="13.85546875" style="1" customWidth="1"/>
    <col min="7944" max="7944" width="19.85546875" style="1" customWidth="1"/>
    <col min="7945" max="7945" width="13.140625" style="1" customWidth="1"/>
    <col min="7946" max="7946" width="14.140625" style="1" bestFit="1" customWidth="1"/>
    <col min="7947" max="7947" width="2.85546875" style="1" customWidth="1"/>
    <col min="7948" max="8192" width="8.7109375" style="1"/>
    <col min="8193" max="8193" width="8" style="1" customWidth="1"/>
    <col min="8194" max="8194" width="3.140625" style="1" customWidth="1"/>
    <col min="8195" max="8195" width="12.42578125" style="1" customWidth="1"/>
    <col min="8196" max="8199" width="13.85546875" style="1" customWidth="1"/>
    <col min="8200" max="8200" width="19.85546875" style="1" customWidth="1"/>
    <col min="8201" max="8201" width="13.140625" style="1" customWidth="1"/>
    <col min="8202" max="8202" width="14.140625" style="1" bestFit="1" customWidth="1"/>
    <col min="8203" max="8203" width="2.85546875" style="1" customWidth="1"/>
    <col min="8204" max="8448" width="8.7109375" style="1"/>
    <col min="8449" max="8449" width="8" style="1" customWidth="1"/>
    <col min="8450" max="8450" width="3.140625" style="1" customWidth="1"/>
    <col min="8451" max="8451" width="12.42578125" style="1" customWidth="1"/>
    <col min="8452" max="8455" width="13.85546875" style="1" customWidth="1"/>
    <col min="8456" max="8456" width="19.85546875" style="1" customWidth="1"/>
    <col min="8457" max="8457" width="13.140625" style="1" customWidth="1"/>
    <col min="8458" max="8458" width="14.140625" style="1" bestFit="1" customWidth="1"/>
    <col min="8459" max="8459" width="2.85546875" style="1" customWidth="1"/>
    <col min="8460" max="8704" width="8.7109375" style="1"/>
    <col min="8705" max="8705" width="8" style="1" customWidth="1"/>
    <col min="8706" max="8706" width="3.140625" style="1" customWidth="1"/>
    <col min="8707" max="8707" width="12.42578125" style="1" customWidth="1"/>
    <col min="8708" max="8711" width="13.85546875" style="1" customWidth="1"/>
    <col min="8712" max="8712" width="19.85546875" style="1" customWidth="1"/>
    <col min="8713" max="8713" width="13.140625" style="1" customWidth="1"/>
    <col min="8714" max="8714" width="14.140625" style="1" bestFit="1" customWidth="1"/>
    <col min="8715" max="8715" width="2.85546875" style="1" customWidth="1"/>
    <col min="8716" max="8960" width="8.7109375" style="1"/>
    <col min="8961" max="8961" width="8" style="1" customWidth="1"/>
    <col min="8962" max="8962" width="3.140625" style="1" customWidth="1"/>
    <col min="8963" max="8963" width="12.42578125" style="1" customWidth="1"/>
    <col min="8964" max="8967" width="13.85546875" style="1" customWidth="1"/>
    <col min="8968" max="8968" width="19.85546875" style="1" customWidth="1"/>
    <col min="8969" max="8969" width="13.140625" style="1" customWidth="1"/>
    <col min="8970" max="8970" width="14.140625" style="1" bestFit="1" customWidth="1"/>
    <col min="8971" max="8971" width="2.85546875" style="1" customWidth="1"/>
    <col min="8972" max="9216" width="8.7109375" style="1"/>
    <col min="9217" max="9217" width="8" style="1" customWidth="1"/>
    <col min="9218" max="9218" width="3.140625" style="1" customWidth="1"/>
    <col min="9219" max="9219" width="12.42578125" style="1" customWidth="1"/>
    <col min="9220" max="9223" width="13.85546875" style="1" customWidth="1"/>
    <col min="9224" max="9224" width="19.85546875" style="1" customWidth="1"/>
    <col min="9225" max="9225" width="13.140625" style="1" customWidth="1"/>
    <col min="9226" max="9226" width="14.140625" style="1" bestFit="1" customWidth="1"/>
    <col min="9227" max="9227" width="2.85546875" style="1" customWidth="1"/>
    <col min="9228" max="9472" width="8.7109375" style="1"/>
    <col min="9473" max="9473" width="8" style="1" customWidth="1"/>
    <col min="9474" max="9474" width="3.140625" style="1" customWidth="1"/>
    <col min="9475" max="9475" width="12.42578125" style="1" customWidth="1"/>
    <col min="9476" max="9479" width="13.85546875" style="1" customWidth="1"/>
    <col min="9480" max="9480" width="19.85546875" style="1" customWidth="1"/>
    <col min="9481" max="9481" width="13.140625" style="1" customWidth="1"/>
    <col min="9482" max="9482" width="14.140625" style="1" bestFit="1" customWidth="1"/>
    <col min="9483" max="9483" width="2.85546875" style="1" customWidth="1"/>
    <col min="9484" max="9728" width="8.7109375" style="1"/>
    <col min="9729" max="9729" width="8" style="1" customWidth="1"/>
    <col min="9730" max="9730" width="3.140625" style="1" customWidth="1"/>
    <col min="9731" max="9731" width="12.42578125" style="1" customWidth="1"/>
    <col min="9732" max="9735" width="13.85546875" style="1" customWidth="1"/>
    <col min="9736" max="9736" width="19.85546875" style="1" customWidth="1"/>
    <col min="9737" max="9737" width="13.140625" style="1" customWidth="1"/>
    <col min="9738" max="9738" width="14.140625" style="1" bestFit="1" customWidth="1"/>
    <col min="9739" max="9739" width="2.85546875" style="1" customWidth="1"/>
    <col min="9740" max="9984" width="8.7109375" style="1"/>
    <col min="9985" max="9985" width="8" style="1" customWidth="1"/>
    <col min="9986" max="9986" width="3.140625" style="1" customWidth="1"/>
    <col min="9987" max="9987" width="12.42578125" style="1" customWidth="1"/>
    <col min="9988" max="9991" width="13.85546875" style="1" customWidth="1"/>
    <col min="9992" max="9992" width="19.85546875" style="1" customWidth="1"/>
    <col min="9993" max="9993" width="13.140625" style="1" customWidth="1"/>
    <col min="9994" max="9994" width="14.140625" style="1" bestFit="1" customWidth="1"/>
    <col min="9995" max="9995" width="2.85546875" style="1" customWidth="1"/>
    <col min="9996" max="10240" width="8.7109375" style="1"/>
    <col min="10241" max="10241" width="8" style="1" customWidth="1"/>
    <col min="10242" max="10242" width="3.140625" style="1" customWidth="1"/>
    <col min="10243" max="10243" width="12.42578125" style="1" customWidth="1"/>
    <col min="10244" max="10247" width="13.85546875" style="1" customWidth="1"/>
    <col min="10248" max="10248" width="19.85546875" style="1" customWidth="1"/>
    <col min="10249" max="10249" width="13.140625" style="1" customWidth="1"/>
    <col min="10250" max="10250" width="14.140625" style="1" bestFit="1" customWidth="1"/>
    <col min="10251" max="10251" width="2.85546875" style="1" customWidth="1"/>
    <col min="10252" max="10496" width="8.7109375" style="1"/>
    <col min="10497" max="10497" width="8" style="1" customWidth="1"/>
    <col min="10498" max="10498" width="3.140625" style="1" customWidth="1"/>
    <col min="10499" max="10499" width="12.42578125" style="1" customWidth="1"/>
    <col min="10500" max="10503" width="13.85546875" style="1" customWidth="1"/>
    <col min="10504" max="10504" width="19.85546875" style="1" customWidth="1"/>
    <col min="10505" max="10505" width="13.140625" style="1" customWidth="1"/>
    <col min="10506" max="10506" width="14.140625" style="1" bestFit="1" customWidth="1"/>
    <col min="10507" max="10507" width="2.85546875" style="1" customWidth="1"/>
    <col min="10508" max="10752" width="8.7109375" style="1"/>
    <col min="10753" max="10753" width="8" style="1" customWidth="1"/>
    <col min="10754" max="10754" width="3.140625" style="1" customWidth="1"/>
    <col min="10755" max="10755" width="12.42578125" style="1" customWidth="1"/>
    <col min="10756" max="10759" width="13.85546875" style="1" customWidth="1"/>
    <col min="10760" max="10760" width="19.85546875" style="1" customWidth="1"/>
    <col min="10761" max="10761" width="13.140625" style="1" customWidth="1"/>
    <col min="10762" max="10762" width="14.140625" style="1" bestFit="1" customWidth="1"/>
    <col min="10763" max="10763" width="2.85546875" style="1" customWidth="1"/>
    <col min="10764" max="11008" width="8.7109375" style="1"/>
    <col min="11009" max="11009" width="8" style="1" customWidth="1"/>
    <col min="11010" max="11010" width="3.140625" style="1" customWidth="1"/>
    <col min="11011" max="11011" width="12.42578125" style="1" customWidth="1"/>
    <col min="11012" max="11015" width="13.85546875" style="1" customWidth="1"/>
    <col min="11016" max="11016" width="19.85546875" style="1" customWidth="1"/>
    <col min="11017" max="11017" width="13.140625" style="1" customWidth="1"/>
    <col min="11018" max="11018" width="14.140625" style="1" bestFit="1" customWidth="1"/>
    <col min="11019" max="11019" width="2.85546875" style="1" customWidth="1"/>
    <col min="11020" max="11264" width="8.7109375" style="1"/>
    <col min="11265" max="11265" width="8" style="1" customWidth="1"/>
    <col min="11266" max="11266" width="3.140625" style="1" customWidth="1"/>
    <col min="11267" max="11267" width="12.42578125" style="1" customWidth="1"/>
    <col min="11268" max="11271" width="13.85546875" style="1" customWidth="1"/>
    <col min="11272" max="11272" width="19.85546875" style="1" customWidth="1"/>
    <col min="11273" max="11273" width="13.140625" style="1" customWidth="1"/>
    <col min="11274" max="11274" width="14.140625" style="1" bestFit="1" customWidth="1"/>
    <col min="11275" max="11275" width="2.85546875" style="1" customWidth="1"/>
    <col min="11276" max="11520" width="8.7109375" style="1"/>
    <col min="11521" max="11521" width="8" style="1" customWidth="1"/>
    <col min="11522" max="11522" width="3.140625" style="1" customWidth="1"/>
    <col min="11523" max="11523" width="12.42578125" style="1" customWidth="1"/>
    <col min="11524" max="11527" width="13.85546875" style="1" customWidth="1"/>
    <col min="11528" max="11528" width="19.85546875" style="1" customWidth="1"/>
    <col min="11529" max="11529" width="13.140625" style="1" customWidth="1"/>
    <col min="11530" max="11530" width="14.140625" style="1" bestFit="1" customWidth="1"/>
    <col min="11531" max="11531" width="2.85546875" style="1" customWidth="1"/>
    <col min="11532" max="11776" width="8.7109375" style="1"/>
    <col min="11777" max="11777" width="8" style="1" customWidth="1"/>
    <col min="11778" max="11778" width="3.140625" style="1" customWidth="1"/>
    <col min="11779" max="11779" width="12.42578125" style="1" customWidth="1"/>
    <col min="11780" max="11783" width="13.85546875" style="1" customWidth="1"/>
    <col min="11784" max="11784" width="19.85546875" style="1" customWidth="1"/>
    <col min="11785" max="11785" width="13.140625" style="1" customWidth="1"/>
    <col min="11786" max="11786" width="14.140625" style="1" bestFit="1" customWidth="1"/>
    <col min="11787" max="11787" width="2.85546875" style="1" customWidth="1"/>
    <col min="11788" max="12032" width="8.7109375" style="1"/>
    <col min="12033" max="12033" width="8" style="1" customWidth="1"/>
    <col min="12034" max="12034" width="3.140625" style="1" customWidth="1"/>
    <col min="12035" max="12035" width="12.42578125" style="1" customWidth="1"/>
    <col min="12036" max="12039" width="13.85546875" style="1" customWidth="1"/>
    <col min="12040" max="12040" width="19.85546875" style="1" customWidth="1"/>
    <col min="12041" max="12041" width="13.140625" style="1" customWidth="1"/>
    <col min="12042" max="12042" width="14.140625" style="1" bestFit="1" customWidth="1"/>
    <col min="12043" max="12043" width="2.85546875" style="1" customWidth="1"/>
    <col min="12044" max="12288" width="8.7109375" style="1"/>
    <col min="12289" max="12289" width="8" style="1" customWidth="1"/>
    <col min="12290" max="12290" width="3.140625" style="1" customWidth="1"/>
    <col min="12291" max="12291" width="12.42578125" style="1" customWidth="1"/>
    <col min="12292" max="12295" width="13.85546875" style="1" customWidth="1"/>
    <col min="12296" max="12296" width="19.85546875" style="1" customWidth="1"/>
    <col min="12297" max="12297" width="13.140625" style="1" customWidth="1"/>
    <col min="12298" max="12298" width="14.140625" style="1" bestFit="1" customWidth="1"/>
    <col min="12299" max="12299" width="2.85546875" style="1" customWidth="1"/>
    <col min="12300" max="12544" width="8.7109375" style="1"/>
    <col min="12545" max="12545" width="8" style="1" customWidth="1"/>
    <col min="12546" max="12546" width="3.140625" style="1" customWidth="1"/>
    <col min="12547" max="12547" width="12.42578125" style="1" customWidth="1"/>
    <col min="12548" max="12551" width="13.85546875" style="1" customWidth="1"/>
    <col min="12552" max="12552" width="19.85546875" style="1" customWidth="1"/>
    <col min="12553" max="12553" width="13.140625" style="1" customWidth="1"/>
    <col min="12554" max="12554" width="14.140625" style="1" bestFit="1" customWidth="1"/>
    <col min="12555" max="12555" width="2.85546875" style="1" customWidth="1"/>
    <col min="12556" max="12800" width="8.7109375" style="1"/>
    <col min="12801" max="12801" width="8" style="1" customWidth="1"/>
    <col min="12802" max="12802" width="3.140625" style="1" customWidth="1"/>
    <col min="12803" max="12803" width="12.42578125" style="1" customWidth="1"/>
    <col min="12804" max="12807" width="13.85546875" style="1" customWidth="1"/>
    <col min="12808" max="12808" width="19.85546875" style="1" customWidth="1"/>
    <col min="12809" max="12809" width="13.140625" style="1" customWidth="1"/>
    <col min="12810" max="12810" width="14.140625" style="1" bestFit="1" customWidth="1"/>
    <col min="12811" max="12811" width="2.85546875" style="1" customWidth="1"/>
    <col min="12812" max="13056" width="8.7109375" style="1"/>
    <col min="13057" max="13057" width="8" style="1" customWidth="1"/>
    <col min="13058" max="13058" width="3.140625" style="1" customWidth="1"/>
    <col min="13059" max="13059" width="12.42578125" style="1" customWidth="1"/>
    <col min="13060" max="13063" width="13.85546875" style="1" customWidth="1"/>
    <col min="13064" max="13064" width="19.85546875" style="1" customWidth="1"/>
    <col min="13065" max="13065" width="13.140625" style="1" customWidth="1"/>
    <col min="13066" max="13066" width="14.140625" style="1" bestFit="1" customWidth="1"/>
    <col min="13067" max="13067" width="2.85546875" style="1" customWidth="1"/>
    <col min="13068" max="13312" width="8.7109375" style="1"/>
    <col min="13313" max="13313" width="8" style="1" customWidth="1"/>
    <col min="13314" max="13314" width="3.140625" style="1" customWidth="1"/>
    <col min="13315" max="13315" width="12.42578125" style="1" customWidth="1"/>
    <col min="13316" max="13319" width="13.85546875" style="1" customWidth="1"/>
    <col min="13320" max="13320" width="19.85546875" style="1" customWidth="1"/>
    <col min="13321" max="13321" width="13.140625" style="1" customWidth="1"/>
    <col min="13322" max="13322" width="14.140625" style="1" bestFit="1" customWidth="1"/>
    <col min="13323" max="13323" width="2.85546875" style="1" customWidth="1"/>
    <col min="13324" max="13568" width="8.7109375" style="1"/>
    <col min="13569" max="13569" width="8" style="1" customWidth="1"/>
    <col min="13570" max="13570" width="3.140625" style="1" customWidth="1"/>
    <col min="13571" max="13571" width="12.42578125" style="1" customWidth="1"/>
    <col min="13572" max="13575" width="13.85546875" style="1" customWidth="1"/>
    <col min="13576" max="13576" width="19.85546875" style="1" customWidth="1"/>
    <col min="13577" max="13577" width="13.140625" style="1" customWidth="1"/>
    <col min="13578" max="13578" width="14.140625" style="1" bestFit="1" customWidth="1"/>
    <col min="13579" max="13579" width="2.85546875" style="1" customWidth="1"/>
    <col min="13580" max="13824" width="8.7109375" style="1"/>
    <col min="13825" max="13825" width="8" style="1" customWidth="1"/>
    <col min="13826" max="13826" width="3.140625" style="1" customWidth="1"/>
    <col min="13827" max="13827" width="12.42578125" style="1" customWidth="1"/>
    <col min="13828" max="13831" width="13.85546875" style="1" customWidth="1"/>
    <col min="13832" max="13832" width="19.85546875" style="1" customWidth="1"/>
    <col min="13833" max="13833" width="13.140625" style="1" customWidth="1"/>
    <col min="13834" max="13834" width="14.140625" style="1" bestFit="1" customWidth="1"/>
    <col min="13835" max="13835" width="2.85546875" style="1" customWidth="1"/>
    <col min="13836" max="14080" width="8.7109375" style="1"/>
    <col min="14081" max="14081" width="8" style="1" customWidth="1"/>
    <col min="14082" max="14082" width="3.140625" style="1" customWidth="1"/>
    <col min="14083" max="14083" width="12.42578125" style="1" customWidth="1"/>
    <col min="14084" max="14087" width="13.85546875" style="1" customWidth="1"/>
    <col min="14088" max="14088" width="19.85546875" style="1" customWidth="1"/>
    <col min="14089" max="14089" width="13.140625" style="1" customWidth="1"/>
    <col min="14090" max="14090" width="14.140625" style="1" bestFit="1" customWidth="1"/>
    <col min="14091" max="14091" width="2.85546875" style="1" customWidth="1"/>
    <col min="14092" max="14336" width="8.7109375" style="1"/>
    <col min="14337" max="14337" width="8" style="1" customWidth="1"/>
    <col min="14338" max="14338" width="3.140625" style="1" customWidth="1"/>
    <col min="14339" max="14339" width="12.42578125" style="1" customWidth="1"/>
    <col min="14340" max="14343" width="13.85546875" style="1" customWidth="1"/>
    <col min="14344" max="14344" width="19.85546875" style="1" customWidth="1"/>
    <col min="14345" max="14345" width="13.140625" style="1" customWidth="1"/>
    <col min="14346" max="14346" width="14.140625" style="1" bestFit="1" customWidth="1"/>
    <col min="14347" max="14347" width="2.85546875" style="1" customWidth="1"/>
    <col min="14348" max="14592" width="8.7109375" style="1"/>
    <col min="14593" max="14593" width="8" style="1" customWidth="1"/>
    <col min="14594" max="14594" width="3.140625" style="1" customWidth="1"/>
    <col min="14595" max="14595" width="12.42578125" style="1" customWidth="1"/>
    <col min="14596" max="14599" width="13.85546875" style="1" customWidth="1"/>
    <col min="14600" max="14600" width="19.85546875" style="1" customWidth="1"/>
    <col min="14601" max="14601" width="13.140625" style="1" customWidth="1"/>
    <col min="14602" max="14602" width="14.140625" style="1" bestFit="1" customWidth="1"/>
    <col min="14603" max="14603" width="2.85546875" style="1" customWidth="1"/>
    <col min="14604" max="14848" width="8.7109375" style="1"/>
    <col min="14849" max="14849" width="8" style="1" customWidth="1"/>
    <col min="14850" max="14850" width="3.140625" style="1" customWidth="1"/>
    <col min="14851" max="14851" width="12.42578125" style="1" customWidth="1"/>
    <col min="14852" max="14855" width="13.85546875" style="1" customWidth="1"/>
    <col min="14856" max="14856" width="19.85546875" style="1" customWidth="1"/>
    <col min="14857" max="14857" width="13.140625" style="1" customWidth="1"/>
    <col min="14858" max="14858" width="14.140625" style="1" bestFit="1" customWidth="1"/>
    <col min="14859" max="14859" width="2.85546875" style="1" customWidth="1"/>
    <col min="14860" max="15104" width="8.7109375" style="1"/>
    <col min="15105" max="15105" width="8" style="1" customWidth="1"/>
    <col min="15106" max="15106" width="3.140625" style="1" customWidth="1"/>
    <col min="15107" max="15107" width="12.42578125" style="1" customWidth="1"/>
    <col min="15108" max="15111" width="13.85546875" style="1" customWidth="1"/>
    <col min="15112" max="15112" width="19.85546875" style="1" customWidth="1"/>
    <col min="15113" max="15113" width="13.140625" style="1" customWidth="1"/>
    <col min="15114" max="15114" width="14.140625" style="1" bestFit="1" customWidth="1"/>
    <col min="15115" max="15115" width="2.85546875" style="1" customWidth="1"/>
    <col min="15116" max="15360" width="8.7109375" style="1"/>
    <col min="15361" max="15361" width="8" style="1" customWidth="1"/>
    <col min="15362" max="15362" width="3.140625" style="1" customWidth="1"/>
    <col min="15363" max="15363" width="12.42578125" style="1" customWidth="1"/>
    <col min="15364" max="15367" width="13.85546875" style="1" customWidth="1"/>
    <col min="15368" max="15368" width="19.85546875" style="1" customWidth="1"/>
    <col min="15369" max="15369" width="13.140625" style="1" customWidth="1"/>
    <col min="15370" max="15370" width="14.140625" style="1" bestFit="1" customWidth="1"/>
    <col min="15371" max="15371" width="2.85546875" style="1" customWidth="1"/>
    <col min="15372" max="15616" width="8.7109375" style="1"/>
    <col min="15617" max="15617" width="8" style="1" customWidth="1"/>
    <col min="15618" max="15618" width="3.140625" style="1" customWidth="1"/>
    <col min="15619" max="15619" width="12.42578125" style="1" customWidth="1"/>
    <col min="15620" max="15623" width="13.85546875" style="1" customWidth="1"/>
    <col min="15624" max="15624" width="19.85546875" style="1" customWidth="1"/>
    <col min="15625" max="15625" width="13.140625" style="1" customWidth="1"/>
    <col min="15626" max="15626" width="14.140625" style="1" bestFit="1" customWidth="1"/>
    <col min="15627" max="15627" width="2.85546875" style="1" customWidth="1"/>
    <col min="15628" max="15872" width="8.7109375" style="1"/>
    <col min="15873" max="15873" width="8" style="1" customWidth="1"/>
    <col min="15874" max="15874" width="3.140625" style="1" customWidth="1"/>
    <col min="15875" max="15875" width="12.42578125" style="1" customWidth="1"/>
    <col min="15876" max="15879" width="13.85546875" style="1" customWidth="1"/>
    <col min="15880" max="15880" width="19.85546875" style="1" customWidth="1"/>
    <col min="15881" max="15881" width="13.140625" style="1" customWidth="1"/>
    <col min="15882" max="15882" width="14.140625" style="1" bestFit="1" customWidth="1"/>
    <col min="15883" max="15883" width="2.85546875" style="1" customWidth="1"/>
    <col min="15884" max="16128" width="8.7109375" style="1"/>
    <col min="16129" max="16129" width="8" style="1" customWidth="1"/>
    <col min="16130" max="16130" width="3.140625" style="1" customWidth="1"/>
    <col min="16131" max="16131" width="12.42578125" style="1" customWidth="1"/>
    <col min="16132" max="16135" width="13.85546875" style="1" customWidth="1"/>
    <col min="16136" max="16136" width="19.85546875" style="1" customWidth="1"/>
    <col min="16137" max="16137" width="13.140625" style="1" customWidth="1"/>
    <col min="16138" max="16138" width="14.140625" style="1" bestFit="1" customWidth="1"/>
    <col min="16139" max="16139" width="2.85546875" style="1" customWidth="1"/>
    <col min="16140" max="16384" width="8.7109375" style="1"/>
  </cols>
  <sheetData>
    <row r="1" spans="1:10" ht="24.95" customHeight="1" x14ac:dyDescent="0.2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</row>
    <row r="2" spans="1:10" ht="26.1" customHeight="1" x14ac:dyDescent="0.25">
      <c r="A2" s="162" t="s">
        <v>1</v>
      </c>
      <c r="B2" s="162"/>
      <c r="C2" s="162"/>
      <c r="D2" s="162"/>
      <c r="E2" s="162"/>
      <c r="F2" s="162"/>
      <c r="G2" s="162"/>
      <c r="H2" s="162"/>
      <c r="I2" s="162"/>
      <c r="J2" s="162"/>
    </row>
    <row r="3" spans="1:10" ht="26.1" customHeight="1" x14ac:dyDescent="0.25">
      <c r="A3" s="85"/>
      <c r="B3" s="85"/>
      <c r="C3" s="85"/>
      <c r="D3" s="85"/>
      <c r="E3" s="85"/>
      <c r="F3" s="85"/>
      <c r="G3" s="85"/>
      <c r="H3" s="85"/>
      <c r="I3" s="85"/>
      <c r="J3" s="85"/>
    </row>
    <row r="4" spans="1:10" ht="26.1" customHeight="1" x14ac:dyDescent="0.25">
      <c r="A4" s="85"/>
      <c r="B4" s="85"/>
      <c r="C4" s="85"/>
      <c r="D4" s="85"/>
      <c r="E4" s="85"/>
      <c r="F4" s="85"/>
      <c r="G4" s="85"/>
      <c r="H4" s="85"/>
      <c r="I4" s="85"/>
      <c r="J4" s="85"/>
    </row>
    <row r="5" spans="1:10" ht="15" customHeight="1" x14ac:dyDescent="0.25">
      <c r="A5" s="60" t="s">
        <v>2</v>
      </c>
      <c r="B5" s="4" t="s">
        <v>3</v>
      </c>
      <c r="C5" s="5"/>
      <c r="D5" s="6"/>
      <c r="G5" s="7"/>
      <c r="H5" s="1"/>
      <c r="I5" s="1"/>
    </row>
    <row r="6" spans="1:10" ht="26.45" customHeight="1" x14ac:dyDescent="0.25">
      <c r="A6" s="60" t="s">
        <v>4</v>
      </c>
      <c r="B6" s="4" t="s">
        <v>3</v>
      </c>
      <c r="C6" s="5" t="s">
        <v>5</v>
      </c>
      <c r="D6" s="6"/>
      <c r="F6" s="8" t="s">
        <v>6</v>
      </c>
      <c r="G6" s="6" t="s">
        <v>5</v>
      </c>
      <c r="H6" s="9"/>
      <c r="I6" s="10" t="s">
        <v>7</v>
      </c>
      <c r="J6" s="11" t="s">
        <v>53</v>
      </c>
    </row>
    <row r="7" spans="1:10" ht="9" customHeight="1" x14ac:dyDescent="0.25">
      <c r="J7" s="12"/>
    </row>
    <row r="8" spans="1:10" ht="24.95" customHeight="1" x14ac:dyDescent="0.25">
      <c r="A8" s="62" t="s">
        <v>8</v>
      </c>
      <c r="B8" s="14" t="s">
        <v>9</v>
      </c>
      <c r="C8" s="13" t="s">
        <v>10</v>
      </c>
      <c r="D8" s="15" t="s">
        <v>56</v>
      </c>
      <c r="E8" s="13" t="s">
        <v>57</v>
      </c>
      <c r="F8" s="16" t="s">
        <v>13</v>
      </c>
      <c r="G8" s="13" t="s">
        <v>14</v>
      </c>
      <c r="H8" s="16" t="s">
        <v>15</v>
      </c>
      <c r="I8" s="17" t="s">
        <v>16</v>
      </c>
      <c r="J8" s="15" t="s">
        <v>17</v>
      </c>
    </row>
    <row r="9" spans="1:10" ht="15" customHeight="1" x14ac:dyDescent="0.25">
      <c r="A9" s="136">
        <v>46113</v>
      </c>
      <c r="B9" s="96" t="s">
        <v>36</v>
      </c>
      <c r="C9" s="97" t="s">
        <v>37</v>
      </c>
      <c r="D9" s="90" t="s">
        <v>22</v>
      </c>
      <c r="E9" s="132" t="s">
        <v>52</v>
      </c>
      <c r="F9" s="23"/>
      <c r="G9" s="19">
        <v>200</v>
      </c>
      <c r="H9" s="91"/>
      <c r="I9" s="91"/>
      <c r="J9" s="92"/>
    </row>
    <row r="10" spans="1:10" ht="15" customHeight="1" x14ac:dyDescent="0.25">
      <c r="A10" s="134">
        <v>46114</v>
      </c>
      <c r="B10" s="51" t="s">
        <v>36</v>
      </c>
      <c r="C10" s="52" t="s">
        <v>37</v>
      </c>
      <c r="D10" s="22" t="s">
        <v>22</v>
      </c>
      <c r="E10" s="128" t="s">
        <v>52</v>
      </c>
      <c r="F10" s="18"/>
      <c r="G10" s="19">
        <v>200</v>
      </c>
      <c r="H10" s="20"/>
      <c r="I10" s="20"/>
      <c r="J10" s="21"/>
    </row>
    <row r="11" spans="1:10" ht="15" customHeight="1" x14ac:dyDescent="0.25">
      <c r="A11" s="134">
        <v>46115</v>
      </c>
      <c r="B11" s="51" t="s">
        <v>36</v>
      </c>
      <c r="C11" s="52" t="s">
        <v>37</v>
      </c>
      <c r="D11" s="22" t="s">
        <v>22</v>
      </c>
      <c r="E11" s="128" t="s">
        <v>52</v>
      </c>
      <c r="F11" s="18"/>
      <c r="G11" s="19">
        <v>200</v>
      </c>
      <c r="H11" s="20"/>
      <c r="I11" s="20"/>
      <c r="J11" s="21"/>
    </row>
    <row r="12" spans="1:10" ht="15" customHeight="1" x14ac:dyDescent="0.25">
      <c r="A12" s="134">
        <v>46116</v>
      </c>
      <c r="B12" s="51" t="s">
        <v>36</v>
      </c>
      <c r="C12" s="52" t="s">
        <v>37</v>
      </c>
      <c r="D12" s="22" t="s">
        <v>22</v>
      </c>
      <c r="E12" s="128" t="s">
        <v>52</v>
      </c>
      <c r="F12" s="18"/>
      <c r="G12" s="19">
        <v>200</v>
      </c>
      <c r="H12" s="20"/>
      <c r="I12" s="20"/>
      <c r="J12" s="21"/>
    </row>
    <row r="13" spans="1:10" ht="15" customHeight="1" x14ac:dyDescent="0.25">
      <c r="A13" s="134">
        <v>46118</v>
      </c>
      <c r="B13" s="51" t="s">
        <v>36</v>
      </c>
      <c r="C13" s="52" t="s">
        <v>37</v>
      </c>
      <c r="D13" s="131" t="s">
        <v>18</v>
      </c>
      <c r="E13" s="3" t="s">
        <v>21</v>
      </c>
      <c r="F13" s="18"/>
      <c r="G13" s="19">
        <v>200</v>
      </c>
      <c r="H13" s="20"/>
      <c r="I13" s="20"/>
      <c r="J13" s="21"/>
    </row>
    <row r="14" spans="1:10" ht="15" customHeight="1" x14ac:dyDescent="0.25">
      <c r="A14" s="134">
        <v>46119</v>
      </c>
      <c r="B14" s="54" t="s">
        <v>36</v>
      </c>
      <c r="C14" s="52" t="s">
        <v>37</v>
      </c>
      <c r="D14" s="22" t="s">
        <v>22</v>
      </c>
      <c r="E14" s="128" t="s">
        <v>52</v>
      </c>
      <c r="F14" s="18"/>
      <c r="G14" s="98">
        <v>200</v>
      </c>
      <c r="H14" s="20"/>
      <c r="I14" s="20"/>
      <c r="J14" s="21"/>
    </row>
    <row r="15" spans="1:10" ht="15" customHeight="1" thickBot="1" x14ac:dyDescent="0.3">
      <c r="A15" s="135">
        <v>46120</v>
      </c>
      <c r="B15" s="99" t="s">
        <v>36</v>
      </c>
      <c r="C15" s="93" t="s">
        <v>37</v>
      </c>
      <c r="D15" s="81" t="s">
        <v>22</v>
      </c>
      <c r="E15" s="133" t="s">
        <v>52</v>
      </c>
      <c r="F15" s="26"/>
      <c r="G15" s="100">
        <v>200</v>
      </c>
      <c r="H15" s="46">
        <f>SUM(G9:G15)</f>
        <v>1400</v>
      </c>
      <c r="I15" s="94"/>
      <c r="J15" s="95"/>
    </row>
    <row r="16" spans="1:10" ht="15" customHeight="1" x14ac:dyDescent="0.25">
      <c r="A16" s="136">
        <v>46113</v>
      </c>
      <c r="B16" s="96" t="s">
        <v>38</v>
      </c>
      <c r="C16" s="97" t="s">
        <v>39</v>
      </c>
      <c r="D16" s="124" t="s">
        <v>22</v>
      </c>
      <c r="E16" s="127" t="s">
        <v>52</v>
      </c>
      <c r="F16" s="23"/>
      <c r="G16" s="19">
        <v>200</v>
      </c>
      <c r="H16" s="91"/>
      <c r="I16" s="91"/>
      <c r="J16" s="92"/>
    </row>
    <row r="17" spans="1:13" ht="15" customHeight="1" x14ac:dyDescent="0.25">
      <c r="A17" s="78">
        <v>46114</v>
      </c>
      <c r="B17" s="105" t="s">
        <v>38</v>
      </c>
      <c r="C17" s="101" t="s">
        <v>39</v>
      </c>
      <c r="D17" s="130" t="s">
        <v>18</v>
      </c>
      <c r="E17" s="126" t="s">
        <v>21</v>
      </c>
      <c r="F17" s="23"/>
      <c r="G17" s="23">
        <v>200</v>
      </c>
      <c r="H17" s="103"/>
      <c r="I17" s="103"/>
      <c r="J17" s="104"/>
    </row>
    <row r="18" spans="1:13" ht="15" customHeight="1" x14ac:dyDescent="0.25">
      <c r="A18" s="64">
        <v>46115</v>
      </c>
      <c r="B18" s="54" t="s">
        <v>38</v>
      </c>
      <c r="C18" s="55" t="s">
        <v>39</v>
      </c>
      <c r="D18" s="22" t="s">
        <v>22</v>
      </c>
      <c r="E18" s="128" t="s">
        <v>52</v>
      </c>
      <c r="F18" s="18"/>
      <c r="G18" s="23">
        <v>200</v>
      </c>
      <c r="H18" s="20"/>
      <c r="I18" s="20"/>
      <c r="J18" s="30"/>
      <c r="L18" s="36"/>
      <c r="M18" s="1"/>
    </row>
    <row r="19" spans="1:13" ht="15" customHeight="1" x14ac:dyDescent="0.25">
      <c r="A19" s="64">
        <v>46116</v>
      </c>
      <c r="B19" s="54" t="s">
        <v>38</v>
      </c>
      <c r="C19" s="55" t="s">
        <v>39</v>
      </c>
      <c r="D19" s="22" t="s">
        <v>22</v>
      </c>
      <c r="E19" s="128" t="s">
        <v>52</v>
      </c>
      <c r="F19" s="18"/>
      <c r="G19" s="23">
        <v>200</v>
      </c>
      <c r="H19" s="20"/>
      <c r="I19" s="20"/>
      <c r="J19" s="21"/>
    </row>
    <row r="20" spans="1:13" ht="15" customHeight="1" x14ac:dyDescent="0.25">
      <c r="A20" s="64">
        <v>46118</v>
      </c>
      <c r="B20" s="54" t="s">
        <v>38</v>
      </c>
      <c r="C20" s="55" t="s">
        <v>39</v>
      </c>
      <c r="D20" s="22" t="s">
        <v>22</v>
      </c>
      <c r="E20" s="128" t="s">
        <v>52</v>
      </c>
      <c r="F20" s="18"/>
      <c r="G20" s="23">
        <v>200</v>
      </c>
      <c r="H20" s="20"/>
      <c r="I20" s="20"/>
      <c r="J20" s="21"/>
      <c r="L20" s="36"/>
      <c r="M20" s="1"/>
    </row>
    <row r="21" spans="1:13" ht="15" customHeight="1" x14ac:dyDescent="0.25">
      <c r="A21" s="64">
        <v>46119</v>
      </c>
      <c r="B21" s="54" t="s">
        <v>38</v>
      </c>
      <c r="C21" s="55" t="s">
        <v>39</v>
      </c>
      <c r="D21" s="131" t="s">
        <v>18</v>
      </c>
      <c r="E21" s="125" t="s">
        <v>21</v>
      </c>
      <c r="F21" s="18"/>
      <c r="G21" s="23">
        <v>200</v>
      </c>
      <c r="H21" s="20"/>
      <c r="I21" s="20"/>
      <c r="J21" s="21"/>
      <c r="L21" s="36"/>
      <c r="M21" s="1"/>
    </row>
    <row r="22" spans="1:13" ht="15" customHeight="1" x14ac:dyDescent="0.25">
      <c r="A22" s="64">
        <v>46120</v>
      </c>
      <c r="B22" s="54" t="s">
        <v>38</v>
      </c>
      <c r="C22" s="55" t="s">
        <v>39</v>
      </c>
      <c r="D22" s="22" t="s">
        <v>22</v>
      </c>
      <c r="E22" s="128" t="s">
        <v>52</v>
      </c>
      <c r="F22" s="18"/>
      <c r="G22" s="23">
        <v>200</v>
      </c>
      <c r="H22" s="20"/>
      <c r="I22" s="20"/>
      <c r="J22" s="21"/>
      <c r="L22" s="79"/>
      <c r="M22" s="80"/>
    </row>
    <row r="23" spans="1:13" ht="15" customHeight="1" thickBot="1" x14ac:dyDescent="0.3">
      <c r="A23" s="65">
        <v>46121</v>
      </c>
      <c r="B23" s="56" t="s">
        <v>38</v>
      </c>
      <c r="C23" s="57" t="s">
        <v>39</v>
      </c>
      <c r="D23" s="81" t="s">
        <v>22</v>
      </c>
      <c r="E23" s="129" t="s">
        <v>52</v>
      </c>
      <c r="F23" s="26"/>
      <c r="G23" s="26">
        <v>200</v>
      </c>
      <c r="H23" s="46">
        <f>SUM(G16:G23)</f>
        <v>1600</v>
      </c>
      <c r="I23" s="94"/>
      <c r="J23" s="95"/>
      <c r="L23" s="36"/>
      <c r="M23" s="1"/>
    </row>
    <row r="24" spans="1:13" ht="15" customHeight="1" x14ac:dyDescent="0.25">
      <c r="A24" s="78">
        <v>46113</v>
      </c>
      <c r="B24" s="96" t="s">
        <v>40</v>
      </c>
      <c r="C24" s="97" t="s">
        <v>41</v>
      </c>
      <c r="D24" s="124" t="s">
        <v>22</v>
      </c>
      <c r="E24" s="127" t="s">
        <v>52</v>
      </c>
      <c r="F24" s="23"/>
      <c r="G24" s="23">
        <v>200</v>
      </c>
      <c r="H24" s="109"/>
      <c r="I24" s="91"/>
      <c r="J24" s="92"/>
    </row>
    <row r="25" spans="1:13" ht="15" customHeight="1" x14ac:dyDescent="0.25">
      <c r="A25" s="64">
        <v>46114</v>
      </c>
      <c r="B25" s="54" t="str">
        <f t="shared" ref="B25:B31" si="0">B24</f>
        <v>17417</v>
      </c>
      <c r="C25" s="55" t="s">
        <v>41</v>
      </c>
      <c r="D25" s="22" t="s">
        <v>22</v>
      </c>
      <c r="E25" s="128" t="s">
        <v>52</v>
      </c>
      <c r="F25" s="18"/>
      <c r="G25" s="18">
        <v>200</v>
      </c>
      <c r="H25" s="110"/>
      <c r="I25" s="20"/>
      <c r="J25" s="21"/>
      <c r="L25" s="79"/>
      <c r="M25" s="80"/>
    </row>
    <row r="26" spans="1:13" ht="15" customHeight="1" x14ac:dyDescent="0.25">
      <c r="A26" s="64">
        <v>46115</v>
      </c>
      <c r="B26" s="54" t="str">
        <f t="shared" si="0"/>
        <v>17417</v>
      </c>
      <c r="C26" s="55" t="s">
        <v>41</v>
      </c>
      <c r="D26" s="22" t="s">
        <v>22</v>
      </c>
      <c r="E26" s="128" t="s">
        <v>52</v>
      </c>
      <c r="F26" s="18"/>
      <c r="G26" s="18">
        <v>200</v>
      </c>
      <c r="H26" s="110"/>
      <c r="I26" s="20"/>
      <c r="J26" s="21"/>
      <c r="L26" s="79"/>
      <c r="M26" s="80"/>
    </row>
    <row r="27" spans="1:13" ht="15" customHeight="1" x14ac:dyDescent="0.25">
      <c r="A27" s="64">
        <v>46116</v>
      </c>
      <c r="B27" s="54" t="str">
        <f t="shared" si="0"/>
        <v>17417</v>
      </c>
      <c r="C27" s="55" t="s">
        <v>41</v>
      </c>
      <c r="D27" s="22" t="s">
        <v>22</v>
      </c>
      <c r="E27" s="128" t="s">
        <v>52</v>
      </c>
      <c r="F27" s="18"/>
      <c r="G27" s="18">
        <v>200</v>
      </c>
      <c r="H27" s="110"/>
      <c r="I27" s="20"/>
      <c r="J27" s="21"/>
      <c r="L27" s="79"/>
      <c r="M27" s="80"/>
    </row>
    <row r="28" spans="1:13" ht="15" customHeight="1" x14ac:dyDescent="0.25">
      <c r="A28" s="64">
        <v>46118</v>
      </c>
      <c r="B28" s="54" t="str">
        <f t="shared" si="0"/>
        <v>17417</v>
      </c>
      <c r="C28" s="55" t="s">
        <v>41</v>
      </c>
      <c r="D28" s="130" t="s">
        <v>18</v>
      </c>
      <c r="E28" s="126" t="s">
        <v>21</v>
      </c>
      <c r="F28" s="18"/>
      <c r="G28" s="18">
        <v>200</v>
      </c>
      <c r="H28" s="110"/>
      <c r="I28" s="20"/>
      <c r="J28" s="21"/>
      <c r="L28" s="79"/>
      <c r="M28" s="80"/>
    </row>
    <row r="29" spans="1:13" ht="15" customHeight="1" x14ac:dyDescent="0.25">
      <c r="A29" s="64">
        <v>46119</v>
      </c>
      <c r="B29" s="54" t="str">
        <f t="shared" si="0"/>
        <v>17417</v>
      </c>
      <c r="C29" s="55" t="s">
        <v>41</v>
      </c>
      <c r="D29" s="130" t="s">
        <v>18</v>
      </c>
      <c r="E29" s="126" t="s">
        <v>21</v>
      </c>
      <c r="F29" s="18"/>
      <c r="G29" s="18">
        <v>200</v>
      </c>
      <c r="H29" s="110"/>
      <c r="I29" s="20"/>
      <c r="J29" s="21"/>
      <c r="L29" s="79"/>
      <c r="M29" s="80"/>
    </row>
    <row r="30" spans="1:13" ht="15" customHeight="1" x14ac:dyDescent="0.25">
      <c r="A30" s="64">
        <v>46120</v>
      </c>
      <c r="B30" s="54" t="str">
        <f t="shared" si="0"/>
        <v>17417</v>
      </c>
      <c r="C30" s="55" t="s">
        <v>41</v>
      </c>
      <c r="D30" s="22" t="s">
        <v>22</v>
      </c>
      <c r="E30" s="128" t="s">
        <v>52</v>
      </c>
      <c r="F30" s="18"/>
      <c r="G30" s="18">
        <v>200</v>
      </c>
      <c r="H30" s="110"/>
      <c r="I30" s="20"/>
      <c r="J30" s="21"/>
      <c r="L30" s="79"/>
      <c r="M30" s="80"/>
    </row>
    <row r="31" spans="1:13" ht="15" customHeight="1" thickBot="1" x14ac:dyDescent="0.3">
      <c r="A31" s="65">
        <v>46121</v>
      </c>
      <c r="B31" s="56" t="str">
        <f t="shared" si="0"/>
        <v>17417</v>
      </c>
      <c r="C31" s="57" t="s">
        <v>41</v>
      </c>
      <c r="D31" s="81" t="s">
        <v>22</v>
      </c>
      <c r="E31" s="129" t="s">
        <v>52</v>
      </c>
      <c r="F31" s="26"/>
      <c r="G31" s="26">
        <v>200</v>
      </c>
      <c r="H31" s="46">
        <f>SUM(G24:G31)</f>
        <v>1600</v>
      </c>
      <c r="I31" s="94"/>
      <c r="J31" s="95"/>
      <c r="L31" s="79"/>
      <c r="M31" s="80"/>
    </row>
    <row r="32" spans="1:13" ht="15" customHeight="1" x14ac:dyDescent="0.25">
      <c r="A32" s="63">
        <v>46113</v>
      </c>
      <c r="B32" s="77" t="s">
        <v>44</v>
      </c>
      <c r="C32" s="76" t="s">
        <v>45</v>
      </c>
      <c r="D32" s="23" t="s">
        <v>22</v>
      </c>
      <c r="E32" s="83" t="s">
        <v>52</v>
      </c>
      <c r="F32" s="29"/>
      <c r="G32" s="29">
        <v>200</v>
      </c>
      <c r="H32" s="43"/>
      <c r="I32" s="43"/>
      <c r="J32" s="44"/>
      <c r="L32" s="79"/>
      <c r="M32" s="80"/>
    </row>
    <row r="33" spans="1:13" ht="15" customHeight="1" x14ac:dyDescent="0.25">
      <c r="A33" s="64">
        <v>46114</v>
      </c>
      <c r="B33" s="54" t="str">
        <f t="shared" ref="B33:B39" si="1">B32</f>
        <v>15550</v>
      </c>
      <c r="C33" s="52" t="s">
        <v>45</v>
      </c>
      <c r="D33" s="18" t="s">
        <v>22</v>
      </c>
      <c r="E33" s="84" t="s">
        <v>52</v>
      </c>
      <c r="F33" s="18"/>
      <c r="G33" s="23">
        <v>200</v>
      </c>
      <c r="H33" s="24"/>
      <c r="I33" s="24"/>
      <c r="J33" s="21"/>
      <c r="L33" s="79"/>
      <c r="M33" s="80"/>
    </row>
    <row r="34" spans="1:13" ht="15" customHeight="1" x14ac:dyDescent="0.25">
      <c r="A34" s="64">
        <v>46115</v>
      </c>
      <c r="B34" s="54" t="str">
        <f t="shared" si="1"/>
        <v>15550</v>
      </c>
      <c r="C34" s="52" t="s">
        <v>45</v>
      </c>
      <c r="D34" s="18" t="s">
        <v>22</v>
      </c>
      <c r="E34" s="84" t="s">
        <v>52</v>
      </c>
      <c r="F34" s="18"/>
      <c r="G34" s="23">
        <v>200</v>
      </c>
      <c r="H34" s="24"/>
      <c r="I34" s="24"/>
      <c r="J34" s="25"/>
      <c r="L34" s="79"/>
      <c r="M34" s="80"/>
    </row>
    <row r="35" spans="1:13" ht="15" customHeight="1" x14ac:dyDescent="0.25">
      <c r="A35" s="64">
        <v>46116</v>
      </c>
      <c r="B35" s="54" t="str">
        <f t="shared" si="1"/>
        <v>15550</v>
      </c>
      <c r="C35" s="52" t="s">
        <v>45</v>
      </c>
      <c r="D35" s="22" t="s">
        <v>22</v>
      </c>
      <c r="E35" s="22" t="s">
        <v>52</v>
      </c>
      <c r="F35" s="18"/>
      <c r="G35" s="23">
        <v>200</v>
      </c>
      <c r="H35" s="24"/>
      <c r="I35" s="24"/>
      <c r="J35" s="25"/>
      <c r="L35" s="79"/>
      <c r="M35" s="80"/>
    </row>
    <row r="36" spans="1:13" ht="15" customHeight="1" x14ac:dyDescent="0.25">
      <c r="A36" s="64">
        <v>46118</v>
      </c>
      <c r="B36" s="54" t="str">
        <f t="shared" si="1"/>
        <v>15550</v>
      </c>
      <c r="C36" s="52" t="s">
        <v>45</v>
      </c>
      <c r="D36" s="18" t="s">
        <v>18</v>
      </c>
      <c r="E36" s="84" t="s">
        <v>21</v>
      </c>
      <c r="F36" s="18"/>
      <c r="G36" s="23">
        <v>200</v>
      </c>
      <c r="H36" s="24"/>
      <c r="I36" s="24"/>
      <c r="J36" s="25"/>
      <c r="L36" s="79"/>
      <c r="M36" s="80"/>
    </row>
    <row r="37" spans="1:13" ht="15" customHeight="1" x14ac:dyDescent="0.25">
      <c r="A37" s="64">
        <v>46119</v>
      </c>
      <c r="B37" s="54" t="str">
        <f t="shared" si="1"/>
        <v>15550</v>
      </c>
      <c r="C37" s="55" t="s">
        <v>45</v>
      </c>
      <c r="D37" s="22" t="s">
        <v>18</v>
      </c>
      <c r="E37" s="22" t="s">
        <v>21</v>
      </c>
      <c r="F37" s="18"/>
      <c r="G37" s="18">
        <v>200</v>
      </c>
      <c r="H37" s="110"/>
      <c r="I37" s="24"/>
      <c r="J37" s="25"/>
      <c r="L37" s="79"/>
      <c r="M37" s="80"/>
    </row>
    <row r="38" spans="1:13" ht="15" customHeight="1" x14ac:dyDescent="0.25">
      <c r="A38" s="155">
        <v>46120</v>
      </c>
      <c r="B38" s="156" t="str">
        <f t="shared" si="1"/>
        <v>15550</v>
      </c>
      <c r="C38" s="166" t="s">
        <v>45</v>
      </c>
      <c r="D38" s="157" t="s">
        <v>18</v>
      </c>
      <c r="E38" s="157" t="s">
        <v>21</v>
      </c>
      <c r="F38" s="158"/>
      <c r="G38" s="18">
        <v>200</v>
      </c>
      <c r="H38" s="159"/>
      <c r="I38" s="160"/>
      <c r="J38" s="161"/>
      <c r="L38" s="79"/>
      <c r="M38" s="80"/>
    </row>
    <row r="39" spans="1:13" ht="15" customHeight="1" thickBot="1" x14ac:dyDescent="0.3">
      <c r="A39" s="65">
        <v>46121</v>
      </c>
      <c r="B39" s="56" t="str">
        <f t="shared" si="1"/>
        <v>15550</v>
      </c>
      <c r="C39" s="57" t="s">
        <v>45</v>
      </c>
      <c r="D39" s="26" t="s">
        <v>22</v>
      </c>
      <c r="E39" s="89" t="s">
        <v>52</v>
      </c>
      <c r="F39" s="26"/>
      <c r="G39" s="26">
        <v>200</v>
      </c>
      <c r="H39" s="46">
        <f>SUM(G32:G39)</f>
        <v>1600</v>
      </c>
      <c r="I39" s="94"/>
      <c r="J39" s="95"/>
      <c r="L39" s="79"/>
      <c r="M39" s="80"/>
    </row>
    <row r="40" spans="1:13" ht="15" customHeight="1" x14ac:dyDescent="0.25">
      <c r="A40" s="78">
        <v>46113</v>
      </c>
      <c r="B40" s="96" t="s">
        <v>46</v>
      </c>
      <c r="C40" s="102" t="s">
        <v>47</v>
      </c>
      <c r="D40" s="23" t="s">
        <v>22</v>
      </c>
      <c r="E40" s="83" t="s">
        <v>52</v>
      </c>
      <c r="F40" s="23"/>
      <c r="G40" s="23">
        <v>200</v>
      </c>
      <c r="H40" s="103"/>
      <c r="I40" s="103"/>
      <c r="J40" s="92"/>
      <c r="L40" s="79"/>
      <c r="M40" s="80"/>
    </row>
    <row r="41" spans="1:13" ht="15" customHeight="1" x14ac:dyDescent="0.25">
      <c r="A41" s="64">
        <v>46114</v>
      </c>
      <c r="B41" s="54" t="str">
        <f t="shared" ref="B41:B47" si="2">B40</f>
        <v>15544</v>
      </c>
      <c r="C41" s="52" t="s">
        <v>47</v>
      </c>
      <c r="D41" s="18" t="s">
        <v>22</v>
      </c>
      <c r="E41" s="84" t="s">
        <v>52</v>
      </c>
      <c r="F41" s="18"/>
      <c r="G41" s="23">
        <v>200</v>
      </c>
      <c r="H41" s="24"/>
      <c r="I41" s="24"/>
      <c r="J41" s="25"/>
      <c r="L41" s="79"/>
      <c r="M41" s="80"/>
    </row>
    <row r="42" spans="1:13" ht="15" customHeight="1" x14ac:dyDescent="0.25">
      <c r="A42" s="64">
        <v>46115</v>
      </c>
      <c r="B42" s="54" t="str">
        <f t="shared" si="2"/>
        <v>15544</v>
      </c>
      <c r="C42" s="52" t="s">
        <v>47</v>
      </c>
      <c r="D42" s="22" t="s">
        <v>22</v>
      </c>
      <c r="E42" s="22" t="s">
        <v>52</v>
      </c>
      <c r="F42" s="111"/>
      <c r="G42" s="113">
        <v>200</v>
      </c>
      <c r="H42" s="110"/>
      <c r="I42" s="110"/>
      <c r="J42" s="25"/>
      <c r="L42" s="79"/>
      <c r="M42" s="80"/>
    </row>
    <row r="43" spans="1:13" ht="15" customHeight="1" x14ac:dyDescent="0.25">
      <c r="A43" s="64">
        <v>46116</v>
      </c>
      <c r="B43" s="54" t="str">
        <f t="shared" si="2"/>
        <v>15544</v>
      </c>
      <c r="C43" s="52" t="s">
        <v>47</v>
      </c>
      <c r="D43" s="111" t="s">
        <v>22</v>
      </c>
      <c r="E43" s="114" t="s">
        <v>52</v>
      </c>
      <c r="F43" s="111"/>
      <c r="G43" s="111">
        <v>200</v>
      </c>
      <c r="H43" s="110"/>
      <c r="I43" s="110"/>
      <c r="J43" s="25"/>
      <c r="L43" s="79"/>
      <c r="M43" s="80"/>
    </row>
    <row r="44" spans="1:13" ht="15" customHeight="1" x14ac:dyDescent="0.25">
      <c r="A44" s="64">
        <v>46118</v>
      </c>
      <c r="B44" s="54" t="str">
        <f t="shared" si="2"/>
        <v>15544</v>
      </c>
      <c r="C44" s="55" t="s">
        <v>47</v>
      </c>
      <c r="D44" s="22" t="s">
        <v>18</v>
      </c>
      <c r="E44" s="22" t="s">
        <v>21</v>
      </c>
      <c r="F44" s="111"/>
      <c r="G44" s="111">
        <v>200</v>
      </c>
      <c r="H44" s="110"/>
      <c r="I44" s="110"/>
      <c r="J44" s="25"/>
      <c r="L44" s="79"/>
      <c r="M44" s="80"/>
    </row>
    <row r="45" spans="1:13" ht="15" customHeight="1" x14ac:dyDescent="0.25">
      <c r="A45" s="78">
        <v>46119</v>
      </c>
      <c r="B45" s="51" t="str">
        <f t="shared" si="2"/>
        <v>15544</v>
      </c>
      <c r="C45" s="101" t="s">
        <v>47</v>
      </c>
      <c r="D45" s="113" t="s">
        <v>18</v>
      </c>
      <c r="E45" s="115" t="s">
        <v>21</v>
      </c>
      <c r="F45" s="113"/>
      <c r="G45" s="113">
        <v>200</v>
      </c>
      <c r="H45" s="116"/>
      <c r="I45" s="116"/>
      <c r="J45" s="92"/>
      <c r="L45" s="79"/>
      <c r="M45" s="80"/>
    </row>
    <row r="46" spans="1:13" ht="15" customHeight="1" x14ac:dyDescent="0.25">
      <c r="A46" s="64">
        <v>46120</v>
      </c>
      <c r="B46" s="54" t="str">
        <f t="shared" si="2"/>
        <v>15544</v>
      </c>
      <c r="C46" s="52" t="s">
        <v>47</v>
      </c>
      <c r="D46" s="111" t="s">
        <v>22</v>
      </c>
      <c r="E46" s="114" t="s">
        <v>52</v>
      </c>
      <c r="F46" s="111"/>
      <c r="G46" s="113">
        <v>200</v>
      </c>
      <c r="H46" s="110"/>
      <c r="I46" s="110"/>
      <c r="J46" s="21"/>
      <c r="L46" s="79"/>
      <c r="M46" s="80"/>
    </row>
    <row r="47" spans="1:13" ht="15" customHeight="1" thickBot="1" x14ac:dyDescent="0.3">
      <c r="A47" s="65">
        <v>46121</v>
      </c>
      <c r="B47" s="56" t="str">
        <f t="shared" si="2"/>
        <v>15544</v>
      </c>
      <c r="C47" s="93" t="s">
        <v>47</v>
      </c>
      <c r="D47" s="58" t="s">
        <v>22</v>
      </c>
      <c r="E47" s="137" t="s">
        <v>52</v>
      </c>
      <c r="F47" s="58"/>
      <c r="G47" s="58">
        <v>200</v>
      </c>
      <c r="H47" s="123">
        <f>SUM(G40:G47)</f>
        <v>1600</v>
      </c>
      <c r="I47" s="138"/>
      <c r="J47" s="28"/>
      <c r="L47" s="79"/>
      <c r="M47" s="80"/>
    </row>
    <row r="48" spans="1:13" ht="15" customHeight="1" x14ac:dyDescent="0.25">
      <c r="A48" s="144">
        <v>46113</v>
      </c>
      <c r="B48" s="147" t="s">
        <v>34</v>
      </c>
      <c r="C48" s="151" t="s">
        <v>35</v>
      </c>
      <c r="D48" s="148" t="s">
        <v>22</v>
      </c>
      <c r="E48" s="149" t="s">
        <v>52</v>
      </c>
      <c r="F48" s="148"/>
      <c r="G48" s="148">
        <v>200</v>
      </c>
      <c r="H48" s="150"/>
      <c r="I48" s="150"/>
      <c r="J48" s="145"/>
      <c r="L48" s="79"/>
      <c r="M48" s="80"/>
    </row>
    <row r="49" spans="1:13" ht="15" customHeight="1" x14ac:dyDescent="0.25">
      <c r="A49" s="64">
        <v>46114</v>
      </c>
      <c r="B49" s="146" t="str">
        <f t="shared" ref="B49:B51" si="3">B48</f>
        <v>21119</v>
      </c>
      <c r="C49" s="52" t="s">
        <v>35</v>
      </c>
      <c r="D49" s="111" t="s">
        <v>22</v>
      </c>
      <c r="E49" s="114" t="s">
        <v>52</v>
      </c>
      <c r="F49" s="111"/>
      <c r="G49" s="111">
        <v>200</v>
      </c>
      <c r="H49" s="146"/>
      <c r="I49" s="146"/>
      <c r="J49" s="25"/>
      <c r="L49" s="79"/>
      <c r="M49" s="80"/>
    </row>
    <row r="50" spans="1:13" ht="15" customHeight="1" x14ac:dyDescent="0.25">
      <c r="A50" s="64">
        <v>46115</v>
      </c>
      <c r="B50" s="146" t="str">
        <f t="shared" si="3"/>
        <v>21119</v>
      </c>
      <c r="C50" s="52" t="s">
        <v>35</v>
      </c>
      <c r="D50" s="111" t="s">
        <v>22</v>
      </c>
      <c r="E50" s="114" t="s">
        <v>52</v>
      </c>
      <c r="F50" s="111"/>
      <c r="G50" s="111">
        <v>200</v>
      </c>
      <c r="H50" s="146"/>
      <c r="I50" s="146"/>
      <c r="J50" s="25"/>
      <c r="L50" s="79"/>
      <c r="M50" s="80"/>
    </row>
    <row r="51" spans="1:13" ht="15" customHeight="1" thickBot="1" x14ac:dyDescent="0.3">
      <c r="A51" s="139">
        <v>46116</v>
      </c>
      <c r="B51" s="99" t="str">
        <f t="shared" si="3"/>
        <v>21119</v>
      </c>
      <c r="C51" s="167" t="s">
        <v>35</v>
      </c>
      <c r="D51" s="140" t="s">
        <v>22</v>
      </c>
      <c r="E51" s="141" t="s">
        <v>52</v>
      </c>
      <c r="F51" s="140"/>
      <c r="G51" s="140">
        <v>200</v>
      </c>
      <c r="H51" s="123">
        <f>SUM(G48:G51)</f>
        <v>800</v>
      </c>
      <c r="I51" s="142"/>
      <c r="J51" s="143"/>
      <c r="L51" s="79"/>
      <c r="M51" s="80"/>
    </row>
    <row r="52" spans="1:13" ht="15" customHeight="1" x14ac:dyDescent="0.25">
      <c r="A52" s="78">
        <v>46113</v>
      </c>
      <c r="B52" s="96" t="s">
        <v>42</v>
      </c>
      <c r="C52" s="97" t="s">
        <v>43</v>
      </c>
      <c r="D52" s="90" t="s">
        <v>22</v>
      </c>
      <c r="E52" s="86" t="s">
        <v>52</v>
      </c>
      <c r="F52" s="23"/>
      <c r="G52" s="23">
        <v>200</v>
      </c>
      <c r="H52" s="109"/>
      <c r="I52" s="91"/>
      <c r="J52" s="92"/>
      <c r="L52" s="79"/>
      <c r="M52" s="80"/>
    </row>
    <row r="53" spans="1:13" ht="15" customHeight="1" x14ac:dyDescent="0.25">
      <c r="A53" s="64">
        <v>46114</v>
      </c>
      <c r="B53" s="54" t="str">
        <f t="shared" ref="B53:B59" si="4">B52</f>
        <v>17414</v>
      </c>
      <c r="C53" s="55" t="s">
        <v>43</v>
      </c>
      <c r="D53" s="22" t="s">
        <v>22</v>
      </c>
      <c r="E53" s="87" t="s">
        <v>52</v>
      </c>
      <c r="F53" s="18"/>
      <c r="G53" s="18">
        <v>200</v>
      </c>
      <c r="H53" s="110"/>
      <c r="I53" s="20"/>
      <c r="J53" s="21"/>
      <c r="L53" s="79"/>
      <c r="M53" s="80"/>
    </row>
    <row r="54" spans="1:13" ht="15" customHeight="1" x14ac:dyDescent="0.25">
      <c r="A54" s="64">
        <v>46115</v>
      </c>
      <c r="B54" s="54" t="str">
        <f t="shared" si="4"/>
        <v>17414</v>
      </c>
      <c r="C54" s="55" t="s">
        <v>43</v>
      </c>
      <c r="D54" s="22" t="s">
        <v>22</v>
      </c>
      <c r="E54" s="87" t="s">
        <v>52</v>
      </c>
      <c r="F54" s="18"/>
      <c r="G54" s="18">
        <v>200</v>
      </c>
      <c r="H54" s="110"/>
      <c r="I54" s="20"/>
      <c r="J54" s="21"/>
      <c r="L54" s="79"/>
      <c r="M54" s="80"/>
    </row>
    <row r="55" spans="1:13" ht="15" customHeight="1" x14ac:dyDescent="0.25">
      <c r="A55" s="64">
        <v>46116</v>
      </c>
      <c r="B55" s="54" t="str">
        <f t="shared" si="4"/>
        <v>17414</v>
      </c>
      <c r="C55" s="55" t="s">
        <v>43</v>
      </c>
      <c r="D55" s="22" t="s">
        <v>22</v>
      </c>
      <c r="E55" s="87" t="s">
        <v>52</v>
      </c>
      <c r="F55" s="18"/>
      <c r="G55" s="18">
        <v>200</v>
      </c>
      <c r="H55" s="110"/>
      <c r="I55" s="20"/>
      <c r="J55" s="21"/>
      <c r="L55" s="79"/>
      <c r="M55" s="80"/>
    </row>
    <row r="56" spans="1:13" ht="15" customHeight="1" x14ac:dyDescent="0.25">
      <c r="A56" s="64">
        <v>46118</v>
      </c>
      <c r="B56" s="54" t="str">
        <f t="shared" si="4"/>
        <v>17414</v>
      </c>
      <c r="C56" s="55" t="s">
        <v>43</v>
      </c>
      <c r="D56" s="22" t="s">
        <v>18</v>
      </c>
      <c r="E56" s="87" t="s">
        <v>21</v>
      </c>
      <c r="F56" s="18"/>
      <c r="G56" s="18">
        <v>200</v>
      </c>
      <c r="H56" s="110"/>
      <c r="I56" s="20"/>
      <c r="J56" s="21"/>
      <c r="L56" s="79"/>
      <c r="M56" s="80"/>
    </row>
    <row r="57" spans="1:13" ht="15" customHeight="1" x14ac:dyDescent="0.25">
      <c r="A57" s="64">
        <v>46119</v>
      </c>
      <c r="B57" s="54" t="str">
        <f t="shared" si="4"/>
        <v>17414</v>
      </c>
      <c r="C57" s="55" t="s">
        <v>43</v>
      </c>
      <c r="D57" s="22" t="s">
        <v>18</v>
      </c>
      <c r="E57" s="87" t="s">
        <v>21</v>
      </c>
      <c r="F57" s="18"/>
      <c r="G57" s="18">
        <v>200</v>
      </c>
      <c r="H57" s="110"/>
      <c r="I57" s="20"/>
      <c r="J57" s="21"/>
      <c r="L57" s="79"/>
      <c r="M57" s="80"/>
    </row>
    <row r="58" spans="1:13" ht="15" customHeight="1" x14ac:dyDescent="0.25">
      <c r="A58" s="64">
        <v>46120</v>
      </c>
      <c r="B58" s="54" t="str">
        <f t="shared" si="4"/>
        <v>17414</v>
      </c>
      <c r="C58" s="55" t="s">
        <v>43</v>
      </c>
      <c r="D58" s="22" t="s">
        <v>22</v>
      </c>
      <c r="E58" s="87" t="s">
        <v>52</v>
      </c>
      <c r="F58" s="18"/>
      <c r="G58" s="18">
        <v>200</v>
      </c>
      <c r="H58" s="110"/>
      <c r="I58" s="20"/>
      <c r="J58" s="21"/>
      <c r="L58" s="79"/>
      <c r="M58" s="80"/>
    </row>
    <row r="59" spans="1:13" ht="15" customHeight="1" thickBot="1" x14ac:dyDescent="0.3">
      <c r="A59" s="64">
        <v>46121</v>
      </c>
      <c r="B59" s="54" t="str">
        <f t="shared" si="4"/>
        <v>17414</v>
      </c>
      <c r="C59" s="55" t="s">
        <v>43</v>
      </c>
      <c r="D59" s="22" t="s">
        <v>22</v>
      </c>
      <c r="E59" s="87" t="s">
        <v>52</v>
      </c>
      <c r="F59" s="18"/>
      <c r="G59" s="18">
        <v>200</v>
      </c>
      <c r="H59" s="46">
        <f>SUM(G52:G59)</f>
        <v>1600</v>
      </c>
      <c r="I59" s="20"/>
      <c r="J59" s="21"/>
      <c r="L59" s="79"/>
      <c r="M59" s="80"/>
    </row>
    <row r="60" spans="1:13" ht="27" customHeight="1" x14ac:dyDescent="0.25">
      <c r="A60" s="165" t="s">
        <v>23</v>
      </c>
      <c r="B60" s="165"/>
      <c r="C60" s="165"/>
      <c r="D60" s="165"/>
      <c r="E60" s="165"/>
      <c r="F60" s="165"/>
      <c r="G60" s="165"/>
      <c r="H60" s="47" t="e">
        <f>H23+H59+H15+H31+H39+H47+#REF!+H51</f>
        <v>#REF!</v>
      </c>
      <c r="I60" s="1"/>
      <c r="J60" s="68"/>
    </row>
    <row r="61" spans="1:13" ht="27" customHeight="1" x14ac:dyDescent="0.25">
      <c r="A61" s="69"/>
      <c r="B61" s="69"/>
      <c r="C61" s="69"/>
      <c r="D61" s="69"/>
      <c r="E61" s="69"/>
      <c r="F61" s="69"/>
      <c r="G61" s="69"/>
      <c r="H61" s="70"/>
      <c r="I61" s="1"/>
      <c r="J61" s="68"/>
    </row>
    <row r="62" spans="1:13" ht="39" customHeight="1" x14ac:dyDescent="0.25">
      <c r="A62" s="69"/>
      <c r="B62" s="69"/>
      <c r="C62" s="69"/>
      <c r="D62" s="69"/>
      <c r="E62" s="69"/>
      <c r="F62" s="69"/>
      <c r="G62" s="69"/>
      <c r="H62" s="70"/>
      <c r="I62" s="8"/>
      <c r="J62" s="68"/>
    </row>
    <row r="63" spans="1:13" ht="15.6" customHeight="1" x14ac:dyDescent="0.25">
      <c r="A63" s="1"/>
      <c r="B63" s="72" t="s">
        <v>29</v>
      </c>
      <c r="C63" s="7" t="s">
        <v>30</v>
      </c>
      <c r="D63" s="69"/>
      <c r="E63" s="71" t="s">
        <v>25</v>
      </c>
      <c r="F63" s="1"/>
      <c r="G63" s="69"/>
      <c r="H63" s="4" t="s">
        <v>26</v>
      </c>
      <c r="I63" s="1"/>
      <c r="J63" s="68"/>
    </row>
    <row r="64" spans="1:13" ht="15.6" customHeight="1" x14ac:dyDescent="0.25">
      <c r="A64" s="69"/>
      <c r="B64" s="1"/>
      <c r="C64" s="69"/>
      <c r="D64" s="69"/>
      <c r="E64" s="69"/>
      <c r="F64" s="69"/>
      <c r="G64" s="69"/>
      <c r="H64" s="70"/>
      <c r="I64" s="8"/>
      <c r="J64" s="68"/>
    </row>
    <row r="65" spans="1:10" ht="15.6" customHeight="1" x14ac:dyDescent="0.25">
      <c r="A65" s="69"/>
      <c r="B65" s="69"/>
      <c r="C65" s="69"/>
      <c r="D65" s="69"/>
      <c r="E65" s="69"/>
      <c r="F65" s="69"/>
      <c r="G65" s="69"/>
      <c r="H65" s="70"/>
      <c r="I65" s="8"/>
      <c r="J65" s="68"/>
    </row>
    <row r="66" spans="1:10" ht="15.6" customHeight="1" x14ac:dyDescent="0.25">
      <c r="A66" s="1" t="s">
        <v>27</v>
      </c>
      <c r="B66" s="1"/>
      <c r="C66" s="69"/>
      <c r="D66" s="33" t="s">
        <v>27</v>
      </c>
      <c r="E66" s="1"/>
      <c r="F66" s="69"/>
      <c r="G66" s="74" t="s">
        <v>27</v>
      </c>
      <c r="H66" s="1"/>
      <c r="I66" s="8"/>
      <c r="J66" s="68"/>
    </row>
    <row r="67" spans="1:10" ht="15.6" customHeight="1" x14ac:dyDescent="0.25">
      <c r="B67" s="7"/>
      <c r="D67" s="33"/>
      <c r="E67" s="34"/>
      <c r="H67" s="7"/>
    </row>
    <row r="68" spans="1:10" ht="15.6" customHeight="1" x14ac:dyDescent="0.25">
      <c r="A68" s="75" t="s">
        <v>28</v>
      </c>
      <c r="B68" s="7"/>
      <c r="D68" s="73" t="s">
        <v>28</v>
      </c>
      <c r="E68" s="1"/>
      <c r="G68" s="1" t="s">
        <v>28</v>
      </c>
      <c r="H68" s="1"/>
    </row>
    <row r="69" spans="1:10" ht="15.6" customHeight="1" x14ac:dyDescent="0.25">
      <c r="G69" s="1"/>
      <c r="H69" s="1"/>
      <c r="I69" s="1"/>
    </row>
    <row r="70" spans="1:10" ht="15.6" customHeight="1" x14ac:dyDescent="0.25">
      <c r="G70" s="1"/>
      <c r="H70" s="1"/>
      <c r="I70" s="1"/>
    </row>
    <row r="71" spans="1:10" ht="15.6" customHeight="1" x14ac:dyDescent="0.25">
      <c r="G71" s="1"/>
      <c r="H71" s="1"/>
      <c r="I71" s="1"/>
    </row>
    <row r="72" spans="1:10" ht="15.6" customHeight="1" x14ac:dyDescent="0.25">
      <c r="G72" s="1"/>
      <c r="H72" s="1"/>
      <c r="I72" s="1"/>
    </row>
    <row r="73" spans="1:10" ht="15.6" customHeight="1" x14ac:dyDescent="0.25">
      <c r="G73" s="1"/>
      <c r="H73" s="1"/>
      <c r="I73" s="1"/>
    </row>
    <row r="74" spans="1:10" ht="15.6" customHeight="1" x14ac:dyDescent="0.25">
      <c r="G74" s="1"/>
      <c r="H74" s="1"/>
      <c r="I74" s="1"/>
    </row>
    <row r="75" spans="1:10" ht="15.6" customHeight="1" x14ac:dyDescent="0.25">
      <c r="G75" s="1"/>
      <c r="H75" s="1"/>
      <c r="I75" s="1"/>
    </row>
    <row r="76" spans="1:10" ht="15.6" customHeight="1" x14ac:dyDescent="0.25">
      <c r="G76" s="1"/>
      <c r="H76" s="1"/>
      <c r="I76" s="1"/>
    </row>
    <row r="77" spans="1:10" ht="15.6" customHeight="1" x14ac:dyDescent="0.25">
      <c r="G77" s="1"/>
      <c r="H77" s="1"/>
      <c r="I77" s="1"/>
    </row>
    <row r="78" spans="1:10" ht="15.6" customHeight="1" x14ac:dyDescent="0.25">
      <c r="G78" s="1"/>
      <c r="H78" s="1"/>
      <c r="I78" s="1"/>
    </row>
    <row r="79" spans="1:10" ht="30" customHeight="1" x14ac:dyDescent="0.25">
      <c r="B79" s="8"/>
      <c r="C79" s="3"/>
      <c r="H79" s="31"/>
      <c r="J79" s="32"/>
    </row>
    <row r="80" spans="1:10" ht="21.95" customHeight="1" x14ac:dyDescent="0.25">
      <c r="A80" s="162" t="s">
        <v>0</v>
      </c>
      <c r="B80" s="162"/>
      <c r="C80" s="162"/>
      <c r="D80" s="162"/>
      <c r="E80" s="162"/>
      <c r="F80" s="162"/>
      <c r="G80" s="162"/>
      <c r="H80" s="162"/>
      <c r="I80" s="162"/>
      <c r="J80" s="162"/>
    </row>
    <row r="81" spans="1:13" ht="15" customHeight="1" x14ac:dyDescent="0.25">
      <c r="A81" s="59"/>
      <c r="B81" s="2"/>
    </row>
    <row r="82" spans="1:13" ht="21.95" customHeight="1" x14ac:dyDescent="0.25">
      <c r="A82" s="162" t="s">
        <v>1</v>
      </c>
      <c r="B82" s="162"/>
      <c r="C82" s="162"/>
      <c r="D82" s="162"/>
      <c r="E82" s="162"/>
      <c r="F82" s="162"/>
      <c r="G82" s="162"/>
      <c r="H82" s="162"/>
      <c r="I82" s="162"/>
      <c r="J82" s="162"/>
    </row>
    <row r="83" spans="1:13" ht="15" customHeight="1" x14ac:dyDescent="0.25">
      <c r="A83" s="59"/>
      <c r="B83" s="1"/>
      <c r="G83" s="1"/>
      <c r="H83" s="1"/>
      <c r="I83" s="1"/>
    </row>
    <row r="84" spans="1:13" s="7" customFormat="1" ht="15" customHeight="1" x14ac:dyDescent="0.25">
      <c r="A84" s="60" t="s">
        <v>2</v>
      </c>
      <c r="B84" s="4"/>
      <c r="C84" s="5"/>
      <c r="D84" s="6"/>
      <c r="E84" s="3"/>
      <c r="F84" s="3"/>
      <c r="H84" s="1"/>
      <c r="I84" s="1"/>
      <c r="J84" s="1"/>
      <c r="M84" s="37"/>
    </row>
    <row r="85" spans="1:13" ht="15" customHeight="1" x14ac:dyDescent="0.25">
      <c r="A85" s="60" t="s">
        <v>4</v>
      </c>
      <c r="B85" s="4"/>
      <c r="C85" s="5" t="s">
        <v>5</v>
      </c>
      <c r="F85" s="8" t="s">
        <v>6</v>
      </c>
      <c r="G85" s="6" t="s">
        <v>5</v>
      </c>
      <c r="H85" s="9"/>
      <c r="I85" s="10" t="s">
        <v>7</v>
      </c>
      <c r="J85" s="11" t="s">
        <v>54</v>
      </c>
    </row>
    <row r="86" spans="1:13" ht="30" customHeight="1" thickBot="1" x14ac:dyDescent="0.3">
      <c r="A86" s="67" t="s">
        <v>8</v>
      </c>
      <c r="B86" s="39" t="s">
        <v>9</v>
      </c>
      <c r="C86" s="38" t="s">
        <v>10</v>
      </c>
      <c r="D86" s="40" t="s">
        <v>11</v>
      </c>
      <c r="E86" s="40" t="s">
        <v>12</v>
      </c>
      <c r="F86" s="41" t="s">
        <v>13</v>
      </c>
      <c r="G86" s="38" t="s">
        <v>14</v>
      </c>
      <c r="H86" s="41" t="s">
        <v>15</v>
      </c>
      <c r="I86" s="42" t="s">
        <v>16</v>
      </c>
      <c r="J86" s="40" t="s">
        <v>17</v>
      </c>
    </row>
    <row r="87" spans="1:13" ht="15" customHeight="1" x14ac:dyDescent="0.25">
      <c r="A87" s="63">
        <v>46113</v>
      </c>
      <c r="B87" s="77" t="s">
        <v>48</v>
      </c>
      <c r="C87" s="151" t="s">
        <v>49</v>
      </c>
      <c r="D87" s="29" t="s">
        <v>22</v>
      </c>
      <c r="E87" s="152" t="s">
        <v>52</v>
      </c>
      <c r="F87" s="29"/>
      <c r="G87" s="29">
        <v>200</v>
      </c>
      <c r="H87" s="153"/>
      <c r="I87" s="153"/>
      <c r="J87" s="154"/>
      <c r="L87" s="80" t="s">
        <v>32</v>
      </c>
      <c r="M87" s="88" t="s">
        <v>31</v>
      </c>
    </row>
    <row r="88" spans="1:13" ht="15" customHeight="1" x14ac:dyDescent="0.25">
      <c r="A88" s="64">
        <v>46114</v>
      </c>
      <c r="B88" s="54" t="str">
        <f t="shared" ref="B88:B93" si="5">B87</f>
        <v>15054</v>
      </c>
      <c r="C88" s="55" t="s">
        <v>49</v>
      </c>
      <c r="D88" s="22" t="s">
        <v>22</v>
      </c>
      <c r="E88" s="22" t="s">
        <v>52</v>
      </c>
      <c r="F88" s="18"/>
      <c r="G88" s="18">
        <v>200</v>
      </c>
      <c r="H88" s="110"/>
      <c r="I88" s="24"/>
      <c r="J88" s="25"/>
      <c r="M88" s="45"/>
    </row>
    <row r="89" spans="1:13" ht="15" customHeight="1" x14ac:dyDescent="0.25">
      <c r="A89" s="78">
        <v>46115</v>
      </c>
      <c r="B89" s="51" t="str">
        <f t="shared" si="5"/>
        <v>15054</v>
      </c>
      <c r="C89" s="101" t="s">
        <v>49</v>
      </c>
      <c r="D89" s="23" t="s">
        <v>22</v>
      </c>
      <c r="E89" s="83" t="s">
        <v>52</v>
      </c>
      <c r="F89" s="23"/>
      <c r="G89" s="23">
        <v>200</v>
      </c>
      <c r="H89" s="116"/>
      <c r="I89" s="91"/>
      <c r="J89" s="92"/>
      <c r="L89" s="1" t="s">
        <v>18</v>
      </c>
      <c r="M89" s="45" t="s">
        <v>21</v>
      </c>
    </row>
    <row r="90" spans="1:13" ht="15" customHeight="1" x14ac:dyDescent="0.25">
      <c r="A90" s="64">
        <v>46116</v>
      </c>
      <c r="B90" s="54" t="str">
        <f t="shared" si="5"/>
        <v>15054</v>
      </c>
      <c r="C90" s="52" t="s">
        <v>49</v>
      </c>
      <c r="D90" s="18" t="s">
        <v>22</v>
      </c>
      <c r="E90" s="84" t="s">
        <v>52</v>
      </c>
      <c r="F90" s="18"/>
      <c r="G90" s="23">
        <v>200</v>
      </c>
      <c r="H90" s="110"/>
      <c r="I90" s="24"/>
      <c r="J90" s="21"/>
      <c r="M90" s="45"/>
    </row>
    <row r="91" spans="1:13" ht="15" customHeight="1" x14ac:dyDescent="0.25">
      <c r="A91" s="64">
        <v>46118</v>
      </c>
      <c r="B91" s="54" t="str">
        <f t="shared" si="5"/>
        <v>15054</v>
      </c>
      <c r="C91" s="52" t="s">
        <v>49</v>
      </c>
      <c r="D91" s="18" t="s">
        <v>18</v>
      </c>
      <c r="E91" s="84" t="s">
        <v>21</v>
      </c>
      <c r="F91" s="18"/>
      <c r="G91" s="23">
        <v>200</v>
      </c>
      <c r="H91" s="110"/>
      <c r="I91" s="24"/>
      <c r="J91" s="25"/>
      <c r="L91" s="80" t="s">
        <v>32</v>
      </c>
      <c r="M91" s="88" t="s">
        <v>31</v>
      </c>
    </row>
    <row r="92" spans="1:13" ht="15" customHeight="1" x14ac:dyDescent="0.25">
      <c r="A92" s="64">
        <v>46119</v>
      </c>
      <c r="B92" s="54" t="str">
        <f t="shared" si="5"/>
        <v>15054</v>
      </c>
      <c r="C92" s="52" t="s">
        <v>49</v>
      </c>
      <c r="D92" s="22" t="s">
        <v>18</v>
      </c>
      <c r="E92" s="22" t="s">
        <v>21</v>
      </c>
      <c r="F92" s="18"/>
      <c r="G92" s="18">
        <v>200</v>
      </c>
      <c r="H92" s="110"/>
      <c r="I92" s="24"/>
      <c r="J92" s="25"/>
      <c r="M92" s="45"/>
    </row>
    <row r="93" spans="1:13" ht="15" customHeight="1" thickBot="1" x14ac:dyDescent="0.3">
      <c r="A93" s="65">
        <v>46120</v>
      </c>
      <c r="B93" s="56" t="str">
        <f t="shared" si="5"/>
        <v>15054</v>
      </c>
      <c r="C93" s="93" t="s">
        <v>49</v>
      </c>
      <c r="D93" s="26" t="s">
        <v>22</v>
      </c>
      <c r="E93" s="89" t="s">
        <v>52</v>
      </c>
      <c r="F93" s="26"/>
      <c r="G93" s="26">
        <v>200</v>
      </c>
      <c r="H93" s="123">
        <f>SUM(G87:G93)</f>
        <v>1400</v>
      </c>
      <c r="I93" s="27"/>
      <c r="J93" s="28"/>
      <c r="L93" s="1" t="s">
        <v>19</v>
      </c>
      <c r="M93" s="45" t="s">
        <v>20</v>
      </c>
    </row>
    <row r="94" spans="1:13" ht="15" customHeight="1" x14ac:dyDescent="0.25">
      <c r="A94" s="106">
        <v>46113</v>
      </c>
      <c r="B94" s="121">
        <v>12547</v>
      </c>
      <c r="C94" s="122" t="s">
        <v>55</v>
      </c>
      <c r="D94" s="107" t="s">
        <v>22</v>
      </c>
      <c r="E94" s="107" t="s">
        <v>52</v>
      </c>
      <c r="F94" s="108"/>
      <c r="G94" s="108">
        <v>200</v>
      </c>
      <c r="H94" s="119"/>
      <c r="I94" s="117"/>
      <c r="J94" s="118"/>
      <c r="M94" s="45"/>
    </row>
    <row r="95" spans="1:13" ht="15" customHeight="1" x14ac:dyDescent="0.25">
      <c r="A95" s="64">
        <v>46114</v>
      </c>
      <c r="B95" s="54">
        <f t="shared" ref="B95:B96" si="6">B94</f>
        <v>12547</v>
      </c>
      <c r="C95" s="55" t="s">
        <v>55</v>
      </c>
      <c r="D95" s="18" t="s">
        <v>22</v>
      </c>
      <c r="E95" s="84" t="s">
        <v>52</v>
      </c>
      <c r="F95" s="18"/>
      <c r="G95" s="18">
        <v>200</v>
      </c>
      <c r="H95" s="120"/>
      <c r="I95" s="20"/>
      <c r="J95" s="21"/>
      <c r="M95" s="45"/>
    </row>
    <row r="96" spans="1:13" ht="15" customHeight="1" thickBot="1" x14ac:dyDescent="0.3">
      <c r="A96" s="65">
        <v>46115</v>
      </c>
      <c r="B96" s="56">
        <f t="shared" si="6"/>
        <v>12547</v>
      </c>
      <c r="C96" s="93" t="s">
        <v>55</v>
      </c>
      <c r="D96" s="26" t="s">
        <v>22</v>
      </c>
      <c r="E96" s="89" t="s">
        <v>52</v>
      </c>
      <c r="F96" s="26"/>
      <c r="G96" s="26">
        <v>200</v>
      </c>
      <c r="H96" s="123">
        <f>SUM(G94:G96)</f>
        <v>600</v>
      </c>
      <c r="I96" s="27"/>
      <c r="J96" s="95"/>
      <c r="M96" s="45"/>
    </row>
    <row r="97" spans="1:13" ht="15" customHeight="1" x14ac:dyDescent="0.25">
      <c r="A97" s="106">
        <v>46113</v>
      </c>
      <c r="B97" s="121" t="s">
        <v>50</v>
      </c>
      <c r="C97" s="122" t="s">
        <v>51</v>
      </c>
      <c r="D97" s="107" t="s">
        <v>22</v>
      </c>
      <c r="E97" s="107" t="s">
        <v>52</v>
      </c>
      <c r="F97" s="108"/>
      <c r="G97" s="108">
        <v>200</v>
      </c>
      <c r="H97" s="119"/>
      <c r="I97" s="117"/>
      <c r="J97" s="118"/>
      <c r="M97" s="45"/>
    </row>
    <row r="98" spans="1:13" ht="15" customHeight="1" x14ac:dyDescent="0.25">
      <c r="A98" s="64">
        <v>46115</v>
      </c>
      <c r="B98" s="54" t="str">
        <f t="shared" ref="B98:B101" si="7">B97</f>
        <v>12630</v>
      </c>
      <c r="C98" s="55" t="s">
        <v>51</v>
      </c>
      <c r="D98" s="18" t="s">
        <v>22</v>
      </c>
      <c r="E98" s="84" t="s">
        <v>52</v>
      </c>
      <c r="F98" s="18"/>
      <c r="G98" s="18">
        <v>200</v>
      </c>
      <c r="H98" s="120"/>
      <c r="I98" s="20"/>
      <c r="J98" s="21"/>
      <c r="L98" s="1" t="s">
        <v>18</v>
      </c>
      <c r="M98" s="45" t="s">
        <v>21</v>
      </c>
    </row>
    <row r="99" spans="1:13" ht="15" customHeight="1" x14ac:dyDescent="0.25">
      <c r="A99" s="64">
        <v>46118</v>
      </c>
      <c r="B99" s="54" t="str">
        <f t="shared" si="7"/>
        <v>12630</v>
      </c>
      <c r="C99" s="52" t="s">
        <v>51</v>
      </c>
      <c r="D99" s="18" t="s">
        <v>22</v>
      </c>
      <c r="E99" s="84" t="s">
        <v>52</v>
      </c>
      <c r="F99" s="18"/>
      <c r="G99" s="23">
        <v>200</v>
      </c>
      <c r="H99" s="110"/>
      <c r="I99" s="24"/>
      <c r="J99" s="21"/>
      <c r="M99" s="45"/>
    </row>
    <row r="100" spans="1:13" ht="15" customHeight="1" x14ac:dyDescent="0.25">
      <c r="A100" s="64">
        <v>46119</v>
      </c>
      <c r="B100" s="54" t="str">
        <f t="shared" si="7"/>
        <v>12630</v>
      </c>
      <c r="C100" s="52" t="s">
        <v>51</v>
      </c>
      <c r="D100" s="18" t="s">
        <v>22</v>
      </c>
      <c r="E100" s="84" t="s">
        <v>52</v>
      </c>
      <c r="F100" s="18"/>
      <c r="G100" s="18">
        <v>200</v>
      </c>
      <c r="H100" s="110"/>
      <c r="I100" s="24"/>
      <c r="J100" s="25"/>
      <c r="L100" s="80" t="s">
        <v>32</v>
      </c>
      <c r="M100" s="88" t="s">
        <v>31</v>
      </c>
    </row>
    <row r="101" spans="1:13" ht="15" customHeight="1" thickBot="1" x14ac:dyDescent="0.3">
      <c r="A101" s="65">
        <v>46120</v>
      </c>
      <c r="B101" s="56" t="str">
        <f t="shared" si="7"/>
        <v>12630</v>
      </c>
      <c r="C101" s="93" t="s">
        <v>51</v>
      </c>
      <c r="D101" s="81" t="s">
        <v>18</v>
      </c>
      <c r="E101" s="81" t="s">
        <v>21</v>
      </c>
      <c r="F101" s="26"/>
      <c r="G101" s="112">
        <v>200</v>
      </c>
      <c r="H101" s="123">
        <f>SUM(G97:G101)</f>
        <v>1000</v>
      </c>
      <c r="I101" s="27"/>
      <c r="J101" s="28"/>
      <c r="M101" s="45"/>
    </row>
    <row r="102" spans="1:13" ht="24" customHeight="1" x14ac:dyDescent="0.25">
      <c r="A102" s="163" t="s">
        <v>23</v>
      </c>
      <c r="B102" s="163"/>
      <c r="C102" s="163"/>
      <c r="D102" s="163"/>
      <c r="E102" s="163"/>
      <c r="F102" s="163"/>
      <c r="G102" s="164"/>
      <c r="H102" s="47">
        <f>+H93+H101+H96</f>
        <v>3000</v>
      </c>
      <c r="J102" s="12"/>
    </row>
    <row r="103" spans="1:13" ht="24" customHeight="1" x14ac:dyDescent="0.25">
      <c r="A103" s="69"/>
      <c r="B103" s="69"/>
      <c r="C103" s="69"/>
      <c r="D103" s="69"/>
      <c r="E103" s="69"/>
      <c r="F103" s="69"/>
      <c r="G103" s="69"/>
      <c r="H103" s="70"/>
      <c r="J103" s="12"/>
    </row>
    <row r="104" spans="1:13" ht="24" customHeight="1" x14ac:dyDescent="0.25">
      <c r="A104" s="69"/>
      <c r="B104" s="69"/>
      <c r="C104" s="69"/>
      <c r="D104" s="69"/>
      <c r="E104" s="69"/>
      <c r="F104" s="69"/>
      <c r="G104" s="69"/>
      <c r="H104" s="70"/>
      <c r="J104" s="12"/>
    </row>
    <row r="105" spans="1:13" ht="24" customHeight="1" x14ac:dyDescent="0.25">
      <c r="A105" s="69"/>
      <c r="B105" s="69"/>
      <c r="C105" s="69"/>
      <c r="D105" s="69"/>
      <c r="E105" s="69"/>
      <c r="F105" s="69"/>
      <c r="G105" s="69"/>
      <c r="H105" s="70"/>
      <c r="J105" s="12"/>
    </row>
    <row r="106" spans="1:13" ht="24" customHeight="1" x14ac:dyDescent="0.25">
      <c r="A106" s="69"/>
      <c r="B106" s="69"/>
      <c r="C106" s="69"/>
      <c r="D106" s="69"/>
      <c r="E106" s="69"/>
      <c r="F106" s="69"/>
      <c r="G106" s="69"/>
      <c r="H106" s="70"/>
      <c r="J106" s="12"/>
    </row>
    <row r="107" spans="1:13" ht="14.45" customHeight="1" x14ac:dyDescent="0.25">
      <c r="F107" s="10"/>
      <c r="G107" s="8"/>
      <c r="J107" s="12"/>
    </row>
    <row r="108" spans="1:13" ht="15" customHeight="1" x14ac:dyDescent="0.25">
      <c r="B108" s="49"/>
      <c r="C108" s="50"/>
      <c r="D108" s="49"/>
      <c r="E108" s="49"/>
      <c r="F108" s="48"/>
      <c r="G108" s="50"/>
      <c r="H108" s="1"/>
      <c r="I108" s="1"/>
    </row>
    <row r="109" spans="1:13" ht="15" customHeight="1" x14ac:dyDescent="0.25">
      <c r="B109" s="49"/>
      <c r="C109" s="50"/>
      <c r="D109" s="49"/>
      <c r="E109" s="49"/>
      <c r="F109" s="48"/>
      <c r="G109" s="50"/>
      <c r="H109" s="1"/>
      <c r="I109" s="1"/>
    </row>
    <row r="110" spans="1:13" ht="15" customHeight="1" x14ac:dyDescent="0.25">
      <c r="B110" s="7" t="s">
        <v>24</v>
      </c>
      <c r="D110" s="33"/>
      <c r="E110" s="34" t="s">
        <v>25</v>
      </c>
      <c r="H110" s="7" t="s">
        <v>26</v>
      </c>
    </row>
    <row r="111" spans="1:13" ht="15" customHeight="1" x14ac:dyDescent="0.25">
      <c r="G111" s="1"/>
      <c r="H111" s="1"/>
      <c r="I111" s="1"/>
    </row>
    <row r="112" spans="1:13" ht="15" customHeight="1" x14ac:dyDescent="0.25">
      <c r="G112" s="1"/>
      <c r="H112" s="1"/>
      <c r="I112" s="1"/>
    </row>
    <row r="113" spans="1:9" ht="15" customHeight="1" x14ac:dyDescent="0.25">
      <c r="A113" s="66" t="s">
        <v>27</v>
      </c>
      <c r="D113" s="33" t="s">
        <v>27</v>
      </c>
      <c r="G113" s="12" t="s">
        <v>27</v>
      </c>
      <c r="H113" s="1"/>
      <c r="I113" s="1"/>
    </row>
    <row r="114" spans="1:9" ht="15" customHeight="1" x14ac:dyDescent="0.25">
      <c r="B114" s="33"/>
      <c r="D114" s="33"/>
      <c r="E114" s="33"/>
      <c r="F114" s="33"/>
      <c r="G114" s="12"/>
      <c r="I114" s="1"/>
    </row>
    <row r="115" spans="1:9" ht="15" customHeight="1" x14ac:dyDescent="0.25">
      <c r="A115" s="66" t="s">
        <v>28</v>
      </c>
      <c r="B115" s="33"/>
      <c r="D115" s="33" t="s">
        <v>28</v>
      </c>
      <c r="E115" s="33"/>
      <c r="F115" s="33"/>
      <c r="G115" s="12" t="s">
        <v>28</v>
      </c>
      <c r="H115" s="35"/>
      <c r="I115" s="35"/>
    </row>
    <row r="116" spans="1:9" ht="15" customHeight="1" x14ac:dyDescent="0.25">
      <c r="A116" s="66"/>
      <c r="B116" s="33"/>
      <c r="D116" s="33"/>
      <c r="E116" s="33"/>
      <c r="F116" s="33"/>
      <c r="G116" s="12"/>
      <c r="H116" s="35"/>
      <c r="I116" s="35"/>
    </row>
    <row r="117" spans="1:9" ht="15" customHeight="1" x14ac:dyDescent="0.25">
      <c r="A117" s="66"/>
      <c r="B117" s="33"/>
      <c r="D117" s="33"/>
      <c r="E117" s="33"/>
      <c r="F117" s="33"/>
      <c r="G117" s="12"/>
      <c r="H117" s="35"/>
      <c r="I117" s="35"/>
    </row>
    <row r="118" spans="1:9" ht="15" customHeight="1" x14ac:dyDescent="0.25">
      <c r="A118" s="66"/>
      <c r="B118" s="33"/>
      <c r="D118" s="33"/>
      <c r="E118" s="33"/>
      <c r="F118" s="33"/>
      <c r="G118" s="12"/>
      <c r="H118" s="35"/>
      <c r="I118" s="35"/>
    </row>
    <row r="119" spans="1:9" ht="15" customHeight="1" x14ac:dyDescent="0.25">
      <c r="A119" s="66"/>
      <c r="B119" s="33"/>
      <c r="D119" s="33"/>
      <c r="E119" s="33"/>
      <c r="F119" s="33"/>
      <c r="G119" s="12"/>
      <c r="H119" s="35"/>
      <c r="I119" s="35"/>
    </row>
    <row r="120" spans="1:9" ht="15" customHeight="1" x14ac:dyDescent="0.25">
      <c r="A120" s="66"/>
      <c r="B120" s="33"/>
      <c r="D120" s="33"/>
      <c r="E120" s="33"/>
      <c r="F120" s="33"/>
      <c r="G120" s="12"/>
      <c r="H120" s="35"/>
      <c r="I120" s="35"/>
    </row>
    <row r="121" spans="1:9" ht="15" customHeight="1" x14ac:dyDescent="0.25">
      <c r="A121" s="66"/>
      <c r="B121" s="33"/>
      <c r="D121" s="33"/>
      <c r="E121" s="33"/>
      <c r="F121" s="33"/>
      <c r="G121" s="12"/>
      <c r="H121" s="35"/>
      <c r="I121" s="35"/>
    </row>
    <row r="122" spans="1:9" ht="15" customHeight="1" x14ac:dyDescent="0.25">
      <c r="A122" s="66"/>
      <c r="B122" s="33"/>
      <c r="D122" s="33"/>
      <c r="E122" s="33"/>
      <c r="F122" s="33"/>
      <c r="G122" s="12"/>
      <c r="H122" s="35"/>
      <c r="I122" s="35"/>
    </row>
    <row r="123" spans="1:9" ht="15" customHeight="1" x14ac:dyDescent="0.25">
      <c r="A123" s="66"/>
      <c r="B123" s="33"/>
      <c r="D123" s="33"/>
      <c r="E123" s="33"/>
      <c r="F123" s="33"/>
      <c r="G123" s="12"/>
      <c r="H123" s="35"/>
      <c r="I123" s="35"/>
    </row>
    <row r="124" spans="1:9" ht="15" customHeight="1" x14ac:dyDescent="0.25">
      <c r="A124" s="66"/>
      <c r="B124" s="33"/>
      <c r="D124" s="33"/>
      <c r="E124" s="33"/>
      <c r="F124" s="33"/>
      <c r="G124" s="12"/>
      <c r="H124" s="35"/>
      <c r="I124" s="35"/>
    </row>
    <row r="125" spans="1:9" ht="15" customHeight="1" x14ac:dyDescent="0.25">
      <c r="A125" s="66"/>
      <c r="B125" s="33"/>
      <c r="D125" s="33"/>
      <c r="E125" s="33"/>
      <c r="F125" s="33"/>
      <c r="G125" s="12"/>
      <c r="H125" s="35"/>
      <c r="I125" s="35"/>
    </row>
    <row r="126" spans="1:9" ht="15" customHeight="1" x14ac:dyDescent="0.25">
      <c r="A126" s="66"/>
      <c r="B126" s="33"/>
      <c r="D126" s="33"/>
      <c r="E126" s="33"/>
      <c r="F126" s="33"/>
      <c r="G126" s="12"/>
      <c r="H126" s="35"/>
      <c r="I126" s="35"/>
    </row>
    <row r="127" spans="1:9" ht="15" customHeight="1" x14ac:dyDescent="0.25">
      <c r="A127" s="66"/>
      <c r="B127" s="33"/>
      <c r="D127" s="33"/>
      <c r="E127" s="33"/>
      <c r="F127" s="33"/>
      <c r="G127" s="12"/>
      <c r="H127" s="35"/>
      <c r="I127" s="35"/>
    </row>
    <row r="128" spans="1:9" ht="15" customHeight="1" x14ac:dyDescent="0.25">
      <c r="A128" s="66"/>
      <c r="B128" s="33"/>
      <c r="D128" s="33"/>
      <c r="E128" s="33"/>
      <c r="F128" s="33"/>
      <c r="G128" s="12"/>
      <c r="H128" s="35"/>
      <c r="I128" s="35"/>
    </row>
    <row r="129" spans="1:9" ht="15" customHeight="1" x14ac:dyDescent="0.25">
      <c r="A129" s="66"/>
      <c r="B129" s="33"/>
      <c r="D129" s="33"/>
      <c r="E129" s="33"/>
      <c r="F129" s="33"/>
      <c r="G129" s="12"/>
      <c r="H129" s="35"/>
      <c r="I129" s="35"/>
    </row>
    <row r="130" spans="1:9" ht="15" customHeight="1" x14ac:dyDescent="0.25">
      <c r="A130" s="66"/>
      <c r="B130" s="33"/>
      <c r="D130" s="33"/>
      <c r="E130" s="33"/>
      <c r="F130" s="33"/>
      <c r="G130" s="12"/>
      <c r="H130" s="35"/>
      <c r="I130" s="35"/>
    </row>
    <row r="131" spans="1:9" ht="15" customHeight="1" x14ac:dyDescent="0.25">
      <c r="A131" s="66"/>
      <c r="B131" s="33"/>
      <c r="D131" s="33"/>
      <c r="E131" s="33"/>
      <c r="F131" s="33"/>
      <c r="G131" s="12"/>
      <c r="H131" s="35"/>
      <c r="I131" s="35"/>
    </row>
    <row r="132" spans="1:9" ht="15" customHeight="1" x14ac:dyDescent="0.25">
      <c r="A132" s="66"/>
      <c r="B132" s="33"/>
      <c r="D132" s="33"/>
      <c r="E132" s="33"/>
      <c r="F132" s="33"/>
      <c r="G132" s="12"/>
      <c r="H132" s="35"/>
      <c r="I132" s="35"/>
    </row>
    <row r="133" spans="1:9" ht="15" customHeight="1" x14ac:dyDescent="0.25">
      <c r="A133" s="66"/>
      <c r="B133" s="33"/>
      <c r="D133" s="33"/>
      <c r="E133" s="33"/>
      <c r="F133" s="33"/>
      <c r="G133" s="12"/>
      <c r="H133" s="35"/>
      <c r="I133" s="35"/>
    </row>
    <row r="134" spans="1:9" ht="15" customHeight="1" x14ac:dyDescent="0.25">
      <c r="A134" s="66"/>
      <c r="B134" s="33"/>
      <c r="D134" s="33"/>
      <c r="E134" s="33"/>
      <c r="F134" s="33"/>
      <c r="G134" s="12"/>
      <c r="H134" s="35"/>
      <c r="I134" s="35"/>
    </row>
    <row r="135" spans="1:9" ht="15" customHeight="1" x14ac:dyDescent="0.25">
      <c r="A135" s="66"/>
      <c r="B135" s="33"/>
      <c r="D135" s="33"/>
      <c r="E135" s="33"/>
      <c r="F135" s="33"/>
      <c r="G135" s="12"/>
      <c r="H135" s="35"/>
      <c r="I135" s="35"/>
    </row>
    <row r="136" spans="1:9" ht="15" customHeight="1" x14ac:dyDescent="0.25">
      <c r="A136" s="66"/>
      <c r="B136" s="33"/>
      <c r="D136" s="33"/>
      <c r="E136" s="33"/>
      <c r="F136" s="33"/>
      <c r="G136" s="12"/>
      <c r="H136" s="35"/>
      <c r="I136" s="35"/>
    </row>
    <row r="137" spans="1:9" ht="15" customHeight="1" x14ac:dyDescent="0.25">
      <c r="A137" s="66"/>
      <c r="B137" s="33"/>
      <c r="D137" s="33"/>
      <c r="E137" s="33"/>
      <c r="F137" s="33"/>
      <c r="G137" s="12"/>
      <c r="H137" s="35"/>
      <c r="I137" s="35"/>
    </row>
    <row r="138" spans="1:9" ht="15" customHeight="1" x14ac:dyDescent="0.25">
      <c r="A138" s="66"/>
      <c r="B138" s="33"/>
      <c r="D138" s="33"/>
      <c r="E138" s="33"/>
      <c r="F138" s="33"/>
      <c r="G138" s="12"/>
      <c r="H138" s="35"/>
      <c r="I138" s="35"/>
    </row>
    <row r="139" spans="1:9" ht="15" customHeight="1" x14ac:dyDescent="0.25">
      <c r="A139" s="66"/>
      <c r="B139" s="33"/>
      <c r="D139" s="33"/>
      <c r="E139" s="33"/>
      <c r="F139" s="33"/>
      <c r="G139" s="12"/>
      <c r="H139" s="35"/>
      <c r="I139" s="35"/>
    </row>
    <row r="140" spans="1:9" ht="15" customHeight="1" x14ac:dyDescent="0.25">
      <c r="A140" s="66"/>
      <c r="B140" s="33"/>
      <c r="D140" s="33"/>
      <c r="E140" s="33"/>
      <c r="F140" s="33"/>
      <c r="G140" s="12"/>
      <c r="H140" s="35"/>
      <c r="I140" s="35"/>
    </row>
    <row r="141" spans="1:9" ht="15" customHeight="1" x14ac:dyDescent="0.25">
      <c r="A141" s="66"/>
      <c r="B141" s="33"/>
      <c r="D141" s="33"/>
      <c r="E141" s="33"/>
      <c r="F141" s="33"/>
      <c r="G141" s="12"/>
      <c r="H141" s="35"/>
      <c r="I141" s="35"/>
    </row>
    <row r="142" spans="1:9" ht="15" customHeight="1" x14ac:dyDescent="0.25">
      <c r="A142" s="66"/>
      <c r="B142" s="33"/>
      <c r="D142" s="33"/>
      <c r="E142" s="33"/>
      <c r="F142" s="33"/>
      <c r="G142" s="12"/>
      <c r="H142" s="35"/>
      <c r="I142" s="35"/>
    </row>
    <row r="143" spans="1:9" ht="15" customHeight="1" x14ac:dyDescent="0.25">
      <c r="A143" s="66"/>
      <c r="B143" s="33"/>
      <c r="D143" s="33"/>
      <c r="E143" s="33"/>
      <c r="F143" s="33"/>
      <c r="G143" s="12"/>
      <c r="H143" s="35"/>
      <c r="I143" s="35"/>
    </row>
    <row r="144" spans="1:9" ht="15" customHeight="1" x14ac:dyDescent="0.25">
      <c r="A144" s="66"/>
      <c r="B144" s="33"/>
      <c r="D144" s="33"/>
      <c r="E144" s="33"/>
      <c r="F144" s="33"/>
      <c r="G144" s="12"/>
      <c r="H144" s="35"/>
      <c r="I144" s="35"/>
    </row>
    <row r="145" spans="1:9" ht="15" customHeight="1" x14ac:dyDescent="0.25">
      <c r="A145" s="66"/>
      <c r="B145" s="33"/>
      <c r="D145" s="33"/>
      <c r="E145" s="33"/>
      <c r="F145" s="33"/>
      <c r="G145" s="12"/>
      <c r="H145" s="35"/>
      <c r="I145" s="35"/>
    </row>
    <row r="146" spans="1:9" ht="15" customHeight="1" x14ac:dyDescent="0.25">
      <c r="A146" s="66"/>
      <c r="B146" s="33"/>
      <c r="D146" s="33"/>
      <c r="E146" s="33"/>
      <c r="F146" s="33"/>
      <c r="G146" s="12"/>
      <c r="H146" s="35"/>
      <c r="I146" s="35"/>
    </row>
    <row r="147" spans="1:9" ht="15" customHeight="1" x14ac:dyDescent="0.25">
      <c r="A147" s="66"/>
      <c r="B147" s="33"/>
      <c r="D147" s="33"/>
      <c r="E147" s="33"/>
      <c r="F147" s="33"/>
      <c r="G147" s="12"/>
      <c r="H147" s="35"/>
      <c r="I147" s="35"/>
    </row>
    <row r="148" spans="1:9" ht="15" customHeight="1" x14ac:dyDescent="0.25">
      <c r="A148" s="66"/>
      <c r="B148" s="33"/>
      <c r="D148" s="33"/>
      <c r="E148" s="33"/>
      <c r="F148" s="33"/>
      <c r="G148" s="12"/>
      <c r="H148" s="35"/>
      <c r="I148" s="35"/>
    </row>
    <row r="149" spans="1:9" ht="15" customHeight="1" x14ac:dyDescent="0.25">
      <c r="A149" s="66"/>
      <c r="B149" s="33"/>
      <c r="D149" s="33"/>
      <c r="E149" s="33"/>
      <c r="F149" s="33"/>
      <c r="G149" s="12"/>
      <c r="H149" s="35"/>
      <c r="I149" s="35"/>
    </row>
    <row r="150" spans="1:9" ht="15" customHeight="1" x14ac:dyDescent="0.25">
      <c r="A150" s="66"/>
      <c r="B150" s="33"/>
      <c r="D150" s="33"/>
      <c r="E150" s="33"/>
      <c r="F150" s="33"/>
      <c r="G150" s="12"/>
      <c r="H150" s="35"/>
      <c r="I150" s="35"/>
    </row>
    <row r="151" spans="1:9" ht="15" customHeight="1" x14ac:dyDescent="0.25">
      <c r="A151" s="66"/>
      <c r="B151" s="33"/>
      <c r="D151" s="33"/>
      <c r="E151" s="33"/>
      <c r="F151" s="33"/>
      <c r="G151" s="12"/>
      <c r="H151" s="35"/>
      <c r="I151" s="35"/>
    </row>
    <row r="152" spans="1:9" ht="15" customHeight="1" x14ac:dyDescent="0.25">
      <c r="A152" s="66"/>
      <c r="B152" s="33"/>
      <c r="D152" s="33"/>
      <c r="E152" s="33"/>
      <c r="F152" s="33"/>
      <c r="G152" s="12"/>
      <c r="H152" s="35"/>
      <c r="I152" s="35"/>
    </row>
    <row r="153" spans="1:9" ht="15" customHeight="1" x14ac:dyDescent="0.25">
      <c r="A153" s="66"/>
      <c r="B153" s="33"/>
      <c r="D153" s="33"/>
      <c r="E153" s="33"/>
      <c r="F153" s="33"/>
      <c r="G153" s="12"/>
      <c r="H153" s="35"/>
      <c r="I153" s="35"/>
    </row>
    <row r="154" spans="1:9" ht="15" customHeight="1" x14ac:dyDescent="0.25">
      <c r="A154" s="66"/>
      <c r="B154" s="33"/>
      <c r="D154" s="33"/>
      <c r="E154" s="33"/>
      <c r="F154" s="33"/>
      <c r="G154" s="12"/>
      <c r="H154" s="35"/>
      <c r="I154" s="35"/>
    </row>
    <row r="155" spans="1:9" ht="15" customHeight="1" x14ac:dyDescent="0.25">
      <c r="A155" s="66"/>
      <c r="B155" s="33"/>
      <c r="D155" s="33"/>
      <c r="E155" s="33"/>
      <c r="F155" s="33"/>
      <c r="G155" s="12"/>
      <c r="H155" s="35"/>
      <c r="I155" s="35"/>
    </row>
    <row r="156" spans="1:9" ht="15" customHeight="1" x14ac:dyDescent="0.25">
      <c r="A156" s="66"/>
      <c r="B156" s="33"/>
      <c r="D156" s="33"/>
      <c r="E156" s="33"/>
      <c r="F156" s="33"/>
      <c r="G156" s="12"/>
      <c r="H156" s="35"/>
      <c r="I156" s="35"/>
    </row>
    <row r="157" spans="1:9" ht="15" customHeight="1" x14ac:dyDescent="0.25">
      <c r="A157" s="66"/>
      <c r="B157" s="33"/>
      <c r="D157" s="33"/>
      <c r="E157" s="33"/>
      <c r="F157" s="33"/>
      <c r="G157" s="12"/>
      <c r="H157" s="35"/>
      <c r="I157" s="35"/>
    </row>
    <row r="160" spans="1:9" ht="15" customHeight="1" x14ac:dyDescent="0.25">
      <c r="G160" s="1"/>
      <c r="H160" s="1"/>
      <c r="I160" s="1"/>
    </row>
    <row r="161" spans="1:10" ht="15" customHeight="1" x14ac:dyDescent="0.25">
      <c r="G161" s="1"/>
      <c r="H161" s="1"/>
      <c r="I161" s="1"/>
    </row>
    <row r="162" spans="1:10" ht="15" customHeight="1" x14ac:dyDescent="0.25">
      <c r="G162" s="1"/>
      <c r="H162" s="1"/>
      <c r="I162" s="1"/>
    </row>
    <row r="163" spans="1:10" ht="15" customHeight="1" x14ac:dyDescent="0.25">
      <c r="B163" s="8"/>
      <c r="C163" s="3"/>
      <c r="H163" s="31"/>
      <c r="J163" s="32"/>
    </row>
    <row r="164" spans="1:10" ht="15" customHeight="1" x14ac:dyDescent="0.25">
      <c r="A164" s="162" t="s">
        <v>0</v>
      </c>
      <c r="B164" s="162"/>
      <c r="C164" s="162"/>
      <c r="D164" s="162"/>
      <c r="E164" s="162"/>
      <c r="F164" s="162"/>
      <c r="G164" s="162"/>
      <c r="H164" s="162"/>
      <c r="I164" s="162"/>
      <c r="J164" s="162"/>
    </row>
    <row r="165" spans="1:10" ht="15" customHeight="1" x14ac:dyDescent="0.25">
      <c r="A165" s="59"/>
      <c r="B165" s="2"/>
    </row>
    <row r="166" spans="1:10" ht="15" customHeight="1" x14ac:dyDescent="0.25">
      <c r="A166" s="162" t="s">
        <v>1</v>
      </c>
      <c r="B166" s="162"/>
      <c r="C166" s="162"/>
      <c r="D166" s="162"/>
      <c r="E166" s="162"/>
      <c r="F166" s="162"/>
      <c r="G166" s="162"/>
      <c r="H166" s="162"/>
      <c r="I166" s="162"/>
      <c r="J166" s="162"/>
    </row>
    <row r="167" spans="1:10" ht="15" customHeight="1" x14ac:dyDescent="0.25">
      <c r="A167" s="59"/>
      <c r="B167" s="1"/>
      <c r="G167" s="1"/>
      <c r="H167" s="1"/>
      <c r="I167" s="1"/>
    </row>
    <row r="168" spans="1:10" ht="15" customHeight="1" x14ac:dyDescent="0.25">
      <c r="A168" s="60" t="s">
        <v>2</v>
      </c>
      <c r="B168" s="4"/>
      <c r="C168" s="5"/>
      <c r="D168" s="6"/>
      <c r="G168" s="7"/>
      <c r="H168" s="1"/>
      <c r="I168" s="1"/>
    </row>
    <row r="169" spans="1:10" ht="15" customHeight="1" x14ac:dyDescent="0.25">
      <c r="A169" s="60" t="s">
        <v>4</v>
      </c>
      <c r="B169" s="4"/>
      <c r="C169" s="5" t="s">
        <v>5</v>
      </c>
      <c r="F169" s="8" t="s">
        <v>6</v>
      </c>
      <c r="G169" s="6" t="s">
        <v>5</v>
      </c>
      <c r="H169" s="9"/>
      <c r="I169" s="10" t="s">
        <v>7</v>
      </c>
      <c r="J169" s="11" t="s">
        <v>33</v>
      </c>
    </row>
    <row r="170" spans="1:10" ht="29.1" customHeight="1" thickBot="1" x14ac:dyDescent="0.3">
      <c r="A170" s="67" t="s">
        <v>8</v>
      </c>
      <c r="B170" s="39" t="s">
        <v>9</v>
      </c>
      <c r="C170" s="38" t="s">
        <v>10</v>
      </c>
      <c r="D170" s="82" t="s">
        <v>11</v>
      </c>
      <c r="E170" s="82" t="s">
        <v>12</v>
      </c>
      <c r="F170" s="41" t="s">
        <v>13</v>
      </c>
      <c r="G170" s="38" t="s">
        <v>14</v>
      </c>
      <c r="H170" s="41" t="s">
        <v>15</v>
      </c>
      <c r="I170" s="42" t="s">
        <v>16</v>
      </c>
      <c r="J170" s="40" t="s">
        <v>17</v>
      </c>
    </row>
    <row r="171" spans="1:10" ht="15" customHeight="1" x14ac:dyDescent="0.25">
      <c r="A171" s="63"/>
      <c r="B171" s="77"/>
      <c r="C171" s="76"/>
      <c r="D171" s="23" t="s">
        <v>22</v>
      </c>
      <c r="E171" s="83" t="s">
        <v>52</v>
      </c>
      <c r="F171" s="29"/>
      <c r="G171" s="29">
        <v>200</v>
      </c>
      <c r="H171" s="43"/>
      <c r="I171" s="43"/>
      <c r="J171" s="44"/>
    </row>
    <row r="172" spans="1:10" ht="15" customHeight="1" x14ac:dyDescent="0.25">
      <c r="A172" s="64"/>
      <c r="B172" s="54"/>
      <c r="C172" s="53"/>
      <c r="D172" s="18" t="s">
        <v>22</v>
      </c>
      <c r="E172" s="84" t="s">
        <v>52</v>
      </c>
      <c r="F172" s="18"/>
      <c r="G172" s="23">
        <v>200</v>
      </c>
      <c r="H172" s="24"/>
      <c r="I172" s="24"/>
      <c r="J172" s="21"/>
    </row>
    <row r="173" spans="1:10" ht="15" customHeight="1" x14ac:dyDescent="0.25">
      <c r="A173" s="64"/>
      <c r="B173" s="54"/>
      <c r="C173" s="53"/>
      <c r="D173" s="18" t="s">
        <v>22</v>
      </c>
      <c r="E173" s="84" t="s">
        <v>52</v>
      </c>
      <c r="F173" s="18"/>
      <c r="G173" s="23">
        <v>200</v>
      </c>
      <c r="H173" s="24"/>
      <c r="I173" s="24"/>
      <c r="J173" s="25"/>
    </row>
    <row r="174" spans="1:10" ht="15" customHeight="1" x14ac:dyDescent="0.25">
      <c r="A174" s="64"/>
      <c r="B174" s="54"/>
      <c r="C174" s="53"/>
      <c r="D174" s="22" t="s">
        <v>22</v>
      </c>
      <c r="E174" s="22" t="s">
        <v>52</v>
      </c>
      <c r="F174" s="18"/>
      <c r="G174" s="23">
        <v>200</v>
      </c>
      <c r="H174" s="24"/>
      <c r="I174" s="24"/>
      <c r="J174" s="25"/>
    </row>
    <row r="175" spans="1:10" ht="15" customHeight="1" x14ac:dyDescent="0.25">
      <c r="A175" s="64"/>
      <c r="B175" s="54"/>
      <c r="C175" s="53"/>
      <c r="D175" s="18" t="s">
        <v>18</v>
      </c>
      <c r="E175" s="84" t="s">
        <v>21</v>
      </c>
      <c r="F175" s="18"/>
      <c r="G175" s="23">
        <v>200</v>
      </c>
      <c r="H175" s="24"/>
      <c r="I175" s="24"/>
      <c r="J175" s="25"/>
    </row>
    <row r="176" spans="1:10" ht="15" customHeight="1" x14ac:dyDescent="0.25">
      <c r="A176" s="64"/>
      <c r="B176" s="54"/>
      <c r="C176" s="111"/>
      <c r="D176" s="22" t="s">
        <v>18</v>
      </c>
      <c r="E176" s="22" t="s">
        <v>21</v>
      </c>
      <c r="F176" s="18"/>
      <c r="G176" s="18">
        <v>200</v>
      </c>
      <c r="H176" s="110"/>
      <c r="I176" s="24"/>
      <c r="J176" s="25"/>
    </row>
    <row r="177" spans="1:10" ht="15" customHeight="1" x14ac:dyDescent="0.25">
      <c r="A177" s="78"/>
      <c r="B177" s="51"/>
      <c r="C177" s="101"/>
      <c r="D177" s="23" t="s">
        <v>22</v>
      </c>
      <c r="E177" s="83" t="s">
        <v>52</v>
      </c>
      <c r="F177" s="23"/>
      <c r="G177" s="23">
        <v>200</v>
      </c>
      <c r="H177" s="91"/>
      <c r="I177" s="91"/>
      <c r="J177" s="92"/>
    </row>
    <row r="178" spans="1:10" ht="15" customHeight="1" x14ac:dyDescent="0.25">
      <c r="A178" s="64"/>
      <c r="B178" s="54"/>
      <c r="C178" s="53"/>
      <c r="D178" s="18" t="s">
        <v>22</v>
      </c>
      <c r="E178" s="84" t="s">
        <v>52</v>
      </c>
      <c r="F178" s="18"/>
      <c r="G178" s="23">
        <v>200</v>
      </c>
      <c r="H178" s="24"/>
      <c r="I178" s="24"/>
      <c r="J178" s="21"/>
    </row>
    <row r="179" spans="1:10" ht="15" customHeight="1" x14ac:dyDescent="0.25">
      <c r="A179" s="64"/>
      <c r="B179" s="54"/>
      <c r="C179" s="53"/>
      <c r="D179" s="18" t="s">
        <v>22</v>
      </c>
      <c r="E179" s="84" t="s">
        <v>52</v>
      </c>
      <c r="F179" s="18"/>
      <c r="G179" s="23">
        <v>200</v>
      </c>
      <c r="H179" s="24"/>
      <c r="I179" s="24"/>
      <c r="J179" s="25"/>
    </row>
    <row r="180" spans="1:10" ht="15" customHeight="1" x14ac:dyDescent="0.25">
      <c r="A180" s="64"/>
      <c r="B180" s="54"/>
      <c r="C180" s="53"/>
      <c r="D180" s="22" t="s">
        <v>18</v>
      </c>
      <c r="E180" s="22" t="s">
        <v>21</v>
      </c>
      <c r="F180" s="18"/>
      <c r="G180" s="23">
        <v>200</v>
      </c>
      <c r="H180" s="24"/>
      <c r="I180" s="24"/>
      <c r="J180" s="25"/>
    </row>
    <row r="181" spans="1:10" ht="15" customHeight="1" x14ac:dyDescent="0.25">
      <c r="A181" s="64"/>
      <c r="B181" s="54"/>
      <c r="C181" s="53"/>
      <c r="D181" s="18" t="s">
        <v>22</v>
      </c>
      <c r="E181" s="84" t="s">
        <v>52</v>
      </c>
      <c r="F181" s="18"/>
      <c r="G181" s="18">
        <v>200</v>
      </c>
      <c r="H181" s="24"/>
      <c r="I181" s="24"/>
      <c r="J181" s="25"/>
    </row>
    <row r="182" spans="1:10" ht="15" customHeight="1" thickBot="1" x14ac:dyDescent="0.3">
      <c r="A182" s="65"/>
      <c r="B182" s="56"/>
      <c r="C182" s="58"/>
      <c r="D182" s="81" t="s">
        <v>22</v>
      </c>
      <c r="E182" s="81" t="s">
        <v>52</v>
      </c>
      <c r="F182" s="26"/>
      <c r="G182" s="26">
        <v>200</v>
      </c>
      <c r="H182" s="46">
        <f>SUM(G171:G182)</f>
        <v>2400</v>
      </c>
      <c r="I182" s="27"/>
      <c r="J182" s="28"/>
    </row>
    <row r="183" spans="1:10" ht="15" customHeight="1" x14ac:dyDescent="0.25">
      <c r="A183" s="163" t="s">
        <v>23</v>
      </c>
      <c r="B183" s="163"/>
      <c r="C183" s="163"/>
      <c r="D183" s="163"/>
      <c r="E183" s="163"/>
      <c r="F183" s="163"/>
      <c r="G183" s="164"/>
      <c r="H183" s="47">
        <f>+H182</f>
        <v>2400</v>
      </c>
      <c r="J183" s="12"/>
    </row>
    <row r="184" spans="1:10" ht="15" customHeight="1" x14ac:dyDescent="0.25">
      <c r="A184" s="69"/>
      <c r="B184" s="69"/>
      <c r="C184" s="69"/>
      <c r="D184" s="69"/>
      <c r="E184" s="69"/>
      <c r="F184" s="69"/>
      <c r="G184" s="69"/>
      <c r="H184" s="70"/>
      <c r="J184" s="12"/>
    </row>
    <row r="185" spans="1:10" ht="15" customHeight="1" x14ac:dyDescent="0.25">
      <c r="A185" s="69"/>
      <c r="B185" s="69"/>
      <c r="C185" s="69"/>
      <c r="D185" s="69"/>
      <c r="E185" s="69"/>
      <c r="F185" s="69"/>
      <c r="G185" s="69"/>
      <c r="H185" s="70"/>
      <c r="J185" s="12"/>
    </row>
    <row r="186" spans="1:10" ht="15" customHeight="1" x14ac:dyDescent="0.25">
      <c r="A186" s="69"/>
      <c r="B186" s="69"/>
      <c r="C186" s="69"/>
      <c r="D186" s="69"/>
      <c r="E186" s="69"/>
      <c r="F186" s="69"/>
      <c r="G186" s="69"/>
      <c r="H186" s="70"/>
      <c r="J186" s="12"/>
    </row>
    <row r="187" spans="1:10" ht="15" customHeight="1" x14ac:dyDescent="0.25">
      <c r="A187" s="69"/>
      <c r="B187" s="69"/>
      <c r="C187" s="69"/>
      <c r="D187" s="69"/>
      <c r="E187" s="69"/>
      <c r="F187" s="69"/>
      <c r="G187" s="69"/>
      <c r="H187" s="70"/>
      <c r="J187" s="12"/>
    </row>
    <row r="188" spans="1:10" ht="15" customHeight="1" x14ac:dyDescent="0.25">
      <c r="F188" s="10"/>
      <c r="G188" s="8"/>
      <c r="J188" s="12"/>
    </row>
    <row r="189" spans="1:10" ht="15" customHeight="1" x14ac:dyDescent="0.25">
      <c r="B189" s="49"/>
      <c r="C189" s="50"/>
      <c r="D189" s="49"/>
      <c r="E189" s="49"/>
      <c r="F189" s="48"/>
      <c r="G189" s="50"/>
      <c r="H189" s="1"/>
      <c r="I189" s="1"/>
    </row>
    <row r="190" spans="1:10" ht="15" customHeight="1" x14ac:dyDescent="0.25">
      <c r="B190" s="49"/>
      <c r="C190" s="50"/>
      <c r="D190" s="49"/>
      <c r="E190" s="49"/>
      <c r="F190" s="48"/>
      <c r="G190" s="50"/>
      <c r="H190" s="1"/>
      <c r="I190" s="1"/>
    </row>
    <row r="191" spans="1:10" ht="15" customHeight="1" x14ac:dyDescent="0.25">
      <c r="B191" s="7" t="s">
        <v>24</v>
      </c>
      <c r="D191" s="33"/>
      <c r="E191" s="34" t="s">
        <v>25</v>
      </c>
      <c r="H191" s="7" t="s">
        <v>26</v>
      </c>
    </row>
    <row r="192" spans="1:10" ht="15" customHeight="1" x14ac:dyDescent="0.25">
      <c r="G192" s="1"/>
      <c r="H192" s="1"/>
      <c r="I192" s="1"/>
    </row>
    <row r="193" spans="1:9" ht="15" customHeight="1" x14ac:dyDescent="0.25">
      <c r="G193" s="1"/>
      <c r="H193" s="1"/>
      <c r="I193" s="1"/>
    </row>
    <row r="194" spans="1:9" ht="15" customHeight="1" x14ac:dyDescent="0.25">
      <c r="A194" s="66" t="s">
        <v>27</v>
      </c>
      <c r="D194" s="33" t="s">
        <v>27</v>
      </c>
      <c r="G194" s="12" t="s">
        <v>27</v>
      </c>
      <c r="H194" s="1"/>
      <c r="I194" s="1"/>
    </row>
    <row r="195" spans="1:9" ht="15" customHeight="1" x14ac:dyDescent="0.25">
      <c r="B195" s="33"/>
      <c r="D195" s="33"/>
      <c r="E195" s="33"/>
      <c r="F195" s="33"/>
      <c r="G195" s="12"/>
      <c r="I195" s="1"/>
    </row>
    <row r="196" spans="1:9" ht="15" customHeight="1" x14ac:dyDescent="0.25">
      <c r="A196" s="66" t="s">
        <v>28</v>
      </c>
      <c r="B196" s="33"/>
      <c r="D196" s="33" t="s">
        <v>28</v>
      </c>
      <c r="E196" s="33"/>
      <c r="F196" s="33"/>
      <c r="G196" s="12" t="s">
        <v>28</v>
      </c>
      <c r="H196" s="35"/>
      <c r="I196" s="35"/>
    </row>
  </sheetData>
  <phoneticPr fontId="14" type="noConversion"/>
  <conditionalFormatting sqref="A9:C51 F9:J59 A52:D59 A87:C101 F87:J101">
    <cfRule type="cellIs" dxfId="39" priority="104" stopIfTrue="1" operator="equal">
      <formula>"Saturday"</formula>
    </cfRule>
    <cfRule type="cellIs" dxfId="38" priority="103" stopIfTrue="1" operator="equal">
      <formula>"Sunday"</formula>
    </cfRule>
  </conditionalFormatting>
  <conditionalFormatting sqref="A171:C182 F171:J182">
    <cfRule type="cellIs" dxfId="37" priority="48" stopIfTrue="1" operator="equal">
      <formula>"Saturday"</formula>
    </cfRule>
    <cfRule type="cellIs" dxfId="36" priority="47" stopIfTrue="1" operator="equal">
      <formula>"Sunday"</formula>
    </cfRule>
  </conditionalFormatting>
  <conditionalFormatting sqref="A163:J163">
    <cfRule type="cellIs" dxfId="35" priority="54" stopIfTrue="1" operator="equal">
      <formula>"Saturday"</formula>
    </cfRule>
    <cfRule type="cellIs" dxfId="34" priority="53" stopIfTrue="1" operator="equal">
      <formula>"Sunday"</formula>
    </cfRule>
  </conditionalFormatting>
  <conditionalFormatting sqref="D9:E12">
    <cfRule type="cellIs" dxfId="33" priority="25" stopIfTrue="1" operator="equal">
      <formula>"Sunday"</formula>
    </cfRule>
    <cfRule type="cellIs" dxfId="32" priority="26" stopIfTrue="1" operator="equal">
      <formula>"Saturday"</formula>
    </cfRule>
  </conditionalFormatting>
  <conditionalFormatting sqref="D14:E16">
    <cfRule type="cellIs" dxfId="31" priority="22" stopIfTrue="1" operator="equal">
      <formula>"Saturday"</formula>
    </cfRule>
    <cfRule type="cellIs" dxfId="30" priority="21" stopIfTrue="1" operator="equal">
      <formula>"Sunday"</formula>
    </cfRule>
  </conditionalFormatting>
  <conditionalFormatting sqref="D18:E20">
    <cfRule type="cellIs" dxfId="29" priority="20" stopIfTrue="1" operator="equal">
      <formula>"Saturday"</formula>
    </cfRule>
    <cfRule type="cellIs" dxfId="28" priority="19" stopIfTrue="1" operator="equal">
      <formula>"Sunday"</formula>
    </cfRule>
  </conditionalFormatting>
  <conditionalFormatting sqref="D22:E27">
    <cfRule type="cellIs" dxfId="27" priority="15" stopIfTrue="1" operator="equal">
      <formula>"Sunday"</formula>
    </cfRule>
    <cfRule type="cellIs" dxfId="26" priority="16" stopIfTrue="1" operator="equal">
      <formula>"Saturday"</formula>
    </cfRule>
  </conditionalFormatting>
  <conditionalFormatting sqref="D30:E31">
    <cfRule type="cellIs" dxfId="25" priority="13" stopIfTrue="1" operator="equal">
      <formula>"Sunday"</formula>
    </cfRule>
    <cfRule type="cellIs" dxfId="24" priority="14" stopIfTrue="1" operator="equal">
      <formula>"Saturday"</formula>
    </cfRule>
  </conditionalFormatting>
  <conditionalFormatting sqref="D35:E35">
    <cfRule type="cellIs" dxfId="23" priority="9" stopIfTrue="1" operator="equal">
      <formula>"Sunday"</formula>
    </cfRule>
    <cfRule type="cellIs" dxfId="22" priority="10" stopIfTrue="1" operator="equal">
      <formula>"Saturday"</formula>
    </cfRule>
  </conditionalFormatting>
  <conditionalFormatting sqref="D37:E38">
    <cfRule type="cellIs" dxfId="21" priority="7" stopIfTrue="1" operator="equal">
      <formula>"Sunday"</formula>
    </cfRule>
    <cfRule type="cellIs" dxfId="20" priority="8" stopIfTrue="1" operator="equal">
      <formula>"Saturday"</formula>
    </cfRule>
  </conditionalFormatting>
  <conditionalFormatting sqref="D42:E42">
    <cfRule type="cellIs" dxfId="19" priority="5" stopIfTrue="1" operator="equal">
      <formula>"Sunday"</formula>
    </cfRule>
    <cfRule type="cellIs" dxfId="18" priority="6" stopIfTrue="1" operator="equal">
      <formula>"Saturday"</formula>
    </cfRule>
  </conditionalFormatting>
  <conditionalFormatting sqref="D44:E44">
    <cfRule type="cellIs" dxfId="17" priority="3" stopIfTrue="1" operator="equal">
      <formula>"Sunday"</formula>
    </cfRule>
    <cfRule type="cellIs" dxfId="16" priority="4" stopIfTrue="1" operator="equal">
      <formula>"Saturday"</formula>
    </cfRule>
  </conditionalFormatting>
  <conditionalFormatting sqref="D88:E88 D97:E97">
    <cfRule type="cellIs" dxfId="15" priority="69" stopIfTrue="1" operator="equal">
      <formula>"Sunday"</formula>
    </cfRule>
    <cfRule type="cellIs" dxfId="14" priority="70" stopIfTrue="1" operator="equal">
      <formula>"Saturday"</formula>
    </cfRule>
  </conditionalFormatting>
  <conditionalFormatting sqref="D92:E92 D101:E101">
    <cfRule type="cellIs" dxfId="13" priority="61" stopIfTrue="1" operator="equal">
      <formula>"Sunday"</formula>
    </cfRule>
    <cfRule type="cellIs" dxfId="12" priority="62" stopIfTrue="1" operator="equal">
      <formula>"Saturday"</formula>
    </cfRule>
  </conditionalFormatting>
  <conditionalFormatting sqref="D94:E94">
    <cfRule type="cellIs" dxfId="11" priority="2" stopIfTrue="1" operator="equal">
      <formula>"Saturday"</formula>
    </cfRule>
    <cfRule type="cellIs" dxfId="10" priority="1" stopIfTrue="1" operator="equal">
      <formula>"Sunday"</formula>
    </cfRule>
  </conditionalFormatting>
  <conditionalFormatting sqref="D174:E174">
    <cfRule type="cellIs" dxfId="9" priority="51" stopIfTrue="1" operator="equal">
      <formula>"Sunday"</formula>
    </cfRule>
    <cfRule type="cellIs" dxfId="8" priority="52" stopIfTrue="1" operator="equal">
      <formula>"Saturday"</formula>
    </cfRule>
  </conditionalFormatting>
  <conditionalFormatting sqref="D176:E176">
    <cfRule type="cellIs" dxfId="7" priority="49" stopIfTrue="1" operator="equal">
      <formula>"Sunday"</formula>
    </cfRule>
    <cfRule type="cellIs" dxfId="6" priority="50" stopIfTrue="1" operator="equal">
      <formula>"Saturday"</formula>
    </cfRule>
  </conditionalFormatting>
  <conditionalFormatting sqref="D180:E180">
    <cfRule type="cellIs" dxfId="5" priority="45" stopIfTrue="1" operator="equal">
      <formula>"Sunday"</formula>
    </cfRule>
    <cfRule type="cellIs" dxfId="4" priority="46" stopIfTrue="1" operator="equal">
      <formula>"Saturday"</formula>
    </cfRule>
  </conditionalFormatting>
  <conditionalFormatting sqref="D182:E182">
    <cfRule type="cellIs" dxfId="3" priority="43" stopIfTrue="1" operator="equal">
      <formula>"Sunday"</formula>
    </cfRule>
    <cfRule type="cellIs" dxfId="2" priority="44" stopIfTrue="1" operator="equal">
      <formula>"Saturday"</formula>
    </cfRule>
  </conditionalFormatting>
  <conditionalFormatting sqref="J60:J61 I62:J62 H63 J63 I64:J66 A79:J79">
    <cfRule type="cellIs" dxfId="1" priority="147" stopIfTrue="1" operator="equal">
      <formula>"Sunday"</formula>
    </cfRule>
    <cfRule type="cellIs" dxfId="0" priority="148" stopIfTrue="1" operator="equal">
      <formula>"Saturday"</formula>
    </cfRule>
  </conditionalFormatting>
  <printOptions horizontalCentered="1"/>
  <pageMargins left="0.5" right="0.33124999999999999" top="0.25" bottom="0.25" header="0.5" footer="0.25"/>
  <pageSetup paperSize="9" scale="60" orientation="portrait" r:id="rId1"/>
  <headerFooter alignWithMargins="0">
    <oddFooter>&amp;C&amp;8COMPANY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Thaiyai, Jeeranun</dc:creator>
  <cp:lastModifiedBy>Thongyam, Supawat</cp:lastModifiedBy>
  <cp:lastPrinted>2026-05-07T04:44:53Z</cp:lastPrinted>
  <dcterms:created xsi:type="dcterms:W3CDTF">2024-05-27T03:26:00Z</dcterms:created>
  <dcterms:modified xsi:type="dcterms:W3CDTF">2026-07-14T03:15:29Z</dcterms:modified>
</cp:coreProperties>
</file>